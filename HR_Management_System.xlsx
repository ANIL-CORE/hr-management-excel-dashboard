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ideyyy\Desktop\basic\"/>
    </mc:Choice>
  </mc:AlternateContent>
  <xr:revisionPtr revIDLastSave="0" documentId="13_ncr:1_{10836F3A-7631-40BA-8525-6363C12CA9D0}" xr6:coauthVersionLast="47" xr6:coauthVersionMax="47" xr10:uidLastSave="{00000000-0000-0000-0000-000000000000}"/>
  <bookViews>
    <workbookView xWindow="-110" yWindow="-110" windowWidth="19420" windowHeight="11020" xr2:uid="{3BD50323-6689-412C-A181-72C9710C5F27}"/>
  </bookViews>
  <sheets>
    <sheet name="Employee_Database" sheetId="1" r:id="rId1"/>
    <sheet name="Attendance" sheetId="2" r:id="rId2"/>
    <sheet name="Leave_Management" sheetId="3" r:id="rId3"/>
    <sheet name="Payroll" sheetId="4" r:id="rId4"/>
    <sheet name="Performance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2" i="5"/>
  <c r="A3" i="5"/>
  <c r="B3" i="5" s="1"/>
  <c r="A4" i="5"/>
  <c r="B4" i="5" s="1"/>
  <c r="A5" i="5"/>
  <c r="D5" i="5" s="1"/>
  <c r="B5" i="5"/>
  <c r="A6" i="5"/>
  <c r="B6" i="5" s="1"/>
  <c r="A7" i="5"/>
  <c r="B7" i="5" s="1"/>
  <c r="D7" i="5"/>
  <c r="A8" i="5"/>
  <c r="B8" i="5" s="1"/>
  <c r="A9" i="5"/>
  <c r="D9" i="5" s="1"/>
  <c r="B9" i="5"/>
  <c r="A10" i="5"/>
  <c r="B10" i="5"/>
  <c r="D10" i="5"/>
  <c r="A11" i="5"/>
  <c r="D11" i="5" s="1"/>
  <c r="B11" i="5"/>
  <c r="A12" i="5"/>
  <c r="B12" i="5" s="1"/>
  <c r="A13" i="5"/>
  <c r="D13" i="5" s="1"/>
  <c r="B13" i="5"/>
  <c r="A14" i="5"/>
  <c r="B14" i="5" s="1"/>
  <c r="A15" i="5"/>
  <c r="B15" i="5" s="1"/>
  <c r="D15" i="5"/>
  <c r="A16" i="5"/>
  <c r="B16" i="5" s="1"/>
  <c r="A17" i="5"/>
  <c r="D17" i="5" s="1"/>
  <c r="B17" i="5"/>
  <c r="A18" i="5"/>
  <c r="B18" i="5"/>
  <c r="D18" i="5"/>
  <c r="A19" i="5"/>
  <c r="D19" i="5" s="1"/>
  <c r="B19" i="5"/>
  <c r="A20" i="5"/>
  <c r="B20" i="5" s="1"/>
  <c r="A21" i="5"/>
  <c r="D21" i="5" s="1"/>
  <c r="B21" i="5"/>
  <c r="A22" i="5"/>
  <c r="B22" i="5" s="1"/>
  <c r="A23" i="5"/>
  <c r="B23" i="5" s="1"/>
  <c r="D23" i="5"/>
  <c r="A24" i="5"/>
  <c r="B24" i="5" s="1"/>
  <c r="A25" i="5"/>
  <c r="D25" i="5" s="1"/>
  <c r="B25" i="5"/>
  <c r="A26" i="5"/>
  <c r="B26" i="5"/>
  <c r="D26" i="5"/>
  <c r="A27" i="5"/>
  <c r="D27" i="5" s="1"/>
  <c r="B27" i="5"/>
  <c r="A28" i="5"/>
  <c r="B28" i="5" s="1"/>
  <c r="A29" i="5"/>
  <c r="D29" i="5" s="1"/>
  <c r="B29" i="5"/>
  <c r="A30" i="5"/>
  <c r="B30" i="5" s="1"/>
  <c r="D30" i="5"/>
  <c r="A31" i="5"/>
  <c r="B31" i="5" s="1"/>
  <c r="D31" i="5"/>
  <c r="A32" i="5"/>
  <c r="B32" i="5" s="1"/>
  <c r="A33" i="5"/>
  <c r="D33" i="5" s="1"/>
  <c r="B33" i="5"/>
  <c r="A34" i="5"/>
  <c r="B34" i="5"/>
  <c r="D34" i="5"/>
  <c r="A35" i="5"/>
  <c r="D35" i="5" s="1"/>
  <c r="B35" i="5"/>
  <c r="A36" i="5"/>
  <c r="B36" i="5" s="1"/>
  <c r="A37" i="5"/>
  <c r="D37" i="5" s="1"/>
  <c r="B37" i="5"/>
  <c r="A38" i="5"/>
  <c r="B38" i="5" s="1"/>
  <c r="D38" i="5"/>
  <c r="A39" i="5"/>
  <c r="B39" i="5" s="1"/>
  <c r="D39" i="5"/>
  <c r="A40" i="5"/>
  <c r="B40" i="5" s="1"/>
  <c r="A41" i="5"/>
  <c r="D41" i="5" s="1"/>
  <c r="B41" i="5"/>
  <c r="D2" i="5"/>
  <c r="B2" i="5"/>
  <c r="A2" i="5"/>
  <c r="E3" i="4"/>
  <c r="F3" i="4" s="1"/>
  <c r="E4" i="4"/>
  <c r="F4" i="4" s="1"/>
  <c r="E5" i="4"/>
  <c r="F5" i="4"/>
  <c r="E6" i="4"/>
  <c r="F6" i="4"/>
  <c r="E7" i="4"/>
  <c r="F7" i="4" s="1"/>
  <c r="E8" i="4"/>
  <c r="F8" i="4" s="1"/>
  <c r="E9" i="4"/>
  <c r="F9" i="4"/>
  <c r="E10" i="4"/>
  <c r="F10" i="4"/>
  <c r="E11" i="4"/>
  <c r="F11" i="4" s="1"/>
  <c r="E12" i="4"/>
  <c r="F12" i="4" s="1"/>
  <c r="E13" i="4"/>
  <c r="F13" i="4"/>
  <c r="E14" i="4"/>
  <c r="F14" i="4"/>
  <c r="E15" i="4"/>
  <c r="F15" i="4" s="1"/>
  <c r="E16" i="4"/>
  <c r="F16" i="4" s="1"/>
  <c r="E17" i="4"/>
  <c r="F17" i="4"/>
  <c r="E18" i="4"/>
  <c r="F18" i="4"/>
  <c r="E19" i="4"/>
  <c r="F19" i="4" s="1"/>
  <c r="E20" i="4"/>
  <c r="F20" i="4" s="1"/>
  <c r="E21" i="4"/>
  <c r="F21" i="4"/>
  <c r="E22" i="4"/>
  <c r="F22" i="4"/>
  <c r="E23" i="4"/>
  <c r="F23" i="4" s="1"/>
  <c r="E24" i="4"/>
  <c r="F24" i="4" s="1"/>
  <c r="E25" i="4"/>
  <c r="F25" i="4"/>
  <c r="E26" i="4"/>
  <c r="F26" i="4"/>
  <c r="E27" i="4"/>
  <c r="F27" i="4" s="1"/>
  <c r="E28" i="4"/>
  <c r="F28" i="4" s="1"/>
  <c r="E29" i="4"/>
  <c r="F29" i="4"/>
  <c r="E30" i="4"/>
  <c r="F30" i="4"/>
  <c r="E31" i="4"/>
  <c r="F31" i="4" s="1"/>
  <c r="E32" i="4"/>
  <c r="F32" i="4" s="1"/>
  <c r="E33" i="4"/>
  <c r="F33" i="4"/>
  <c r="E34" i="4"/>
  <c r="F34" i="4"/>
  <c r="E35" i="4"/>
  <c r="F35" i="4" s="1"/>
  <c r="E36" i="4"/>
  <c r="F36" i="4" s="1"/>
  <c r="E37" i="4"/>
  <c r="F37" i="4"/>
  <c r="E38" i="4"/>
  <c r="F38" i="4"/>
  <c r="E39" i="4"/>
  <c r="F39" i="4" s="1"/>
  <c r="E40" i="4"/>
  <c r="F40" i="4" s="1"/>
  <c r="E41" i="4"/>
  <c r="F41" i="4"/>
  <c r="F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A2" i="4" a="1"/>
  <c r="A2" i="4" s="1"/>
  <c r="K6" i="3"/>
  <c r="K5" i="3"/>
  <c r="K4" i="3"/>
  <c r="K3" i="3"/>
  <c r="N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T2" i="1"/>
  <c r="S2" i="1"/>
  <c r="R2" i="1"/>
  <c r="Q2" i="1"/>
  <c r="P2" i="1" a="1"/>
  <c r="P2" i="1" s="1"/>
  <c r="N3" i="1"/>
  <c r="N11" i="1"/>
  <c r="N9" i="1"/>
  <c r="N10" i="1"/>
  <c r="N8" i="1"/>
  <c r="N7" i="1"/>
  <c r="N6" i="1"/>
  <c r="N5" i="1"/>
  <c r="N4" i="1"/>
  <c r="D36" i="5" l="1"/>
  <c r="D28" i="5"/>
  <c r="D20" i="5"/>
  <c r="D12" i="5"/>
  <c r="D4" i="5"/>
  <c r="D22" i="5"/>
  <c r="D6" i="5"/>
  <c r="D14" i="5"/>
  <c r="D3" i="5"/>
  <c r="D32" i="5"/>
  <c r="D8" i="5"/>
  <c r="D40" i="5"/>
  <c r="D24" i="5"/>
  <c r="D1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<sst xmlns="http://schemas.openxmlformats.org/spreadsheetml/2006/main" count="5302" uniqueCount="248">
  <si>
    <t>Employee ID</t>
  </si>
  <si>
    <t>Full Name</t>
  </si>
  <si>
    <t>Gender</t>
  </si>
  <si>
    <t>Department</t>
  </si>
  <si>
    <t>Designation</t>
  </si>
  <si>
    <t>Joining Date</t>
  </si>
  <si>
    <t>Email</t>
  </si>
  <si>
    <t>Phone Number</t>
  </si>
  <si>
    <t>Salary</t>
  </si>
  <si>
    <t>Employment Status</t>
  </si>
  <si>
    <t>EMP001</t>
  </si>
  <si>
    <t>Rohan Mehta</t>
  </si>
  <si>
    <t>Male</t>
  </si>
  <si>
    <t>IT</t>
  </si>
  <si>
    <t>Software Engineer</t>
  </si>
  <si>
    <t>rohan.mehta@coffeecore.com</t>
  </si>
  <si>
    <t>Active</t>
  </si>
  <si>
    <t>EMP002</t>
  </si>
  <si>
    <t>Priya Sharma</t>
  </si>
  <si>
    <t>Female</t>
  </si>
  <si>
    <t>HR</t>
  </si>
  <si>
    <t>HR Executive</t>
  </si>
  <si>
    <t>priya.sharma@coffeecore.com</t>
  </si>
  <si>
    <t>EMP003</t>
  </si>
  <si>
    <t>Aman Gupta</t>
  </si>
  <si>
    <t>Sales</t>
  </si>
  <si>
    <t>Sales Manager</t>
  </si>
  <si>
    <t>18-01-2019</t>
  </si>
  <si>
    <t>aman.gupta@coffeecore.com</t>
  </si>
  <si>
    <t>EMP004</t>
  </si>
  <si>
    <t>Sneha Verma</t>
  </si>
  <si>
    <t>Finance</t>
  </si>
  <si>
    <t>Accountant</t>
  </si>
  <si>
    <t>22-09-2022</t>
  </si>
  <si>
    <t>sneha.verma@coffeecore.com</t>
  </si>
  <si>
    <t>EMP005</t>
  </si>
  <si>
    <t>Vikram Singh</t>
  </si>
  <si>
    <t>Operations</t>
  </si>
  <si>
    <t>Operations Executive</t>
  </si>
  <si>
    <t>vikram.singh@coffeecore.com</t>
  </si>
  <si>
    <t>EMP006</t>
  </si>
  <si>
    <t>Anjali Nair</t>
  </si>
  <si>
    <t>IT Manager</t>
  </si>
  <si>
    <t>anjali.nair@coffeecore.com</t>
  </si>
  <si>
    <t>EMP007</t>
  </si>
  <si>
    <t>Karan Malhotra</t>
  </si>
  <si>
    <t>Sales Executive</t>
  </si>
  <si>
    <t>14-06-2023</t>
  </si>
  <si>
    <t>karan.malhotra@coffeecore.com</t>
  </si>
  <si>
    <t>EMP008</t>
  </si>
  <si>
    <t>Pooja Iyer</t>
  </si>
  <si>
    <t>Finance Manager</t>
  </si>
  <si>
    <t>27-08-2019</t>
  </si>
  <si>
    <t>pooja.iyer@coffeecore.com</t>
  </si>
  <si>
    <t>EMP009</t>
  </si>
  <si>
    <t>Rahul Kapoor</t>
  </si>
  <si>
    <t>HR Manager</t>
  </si>
  <si>
    <t>rahul.kapoor@coffeecore.com</t>
  </si>
  <si>
    <t>EMP010</t>
  </si>
  <si>
    <t>Neha Reddy</t>
  </si>
  <si>
    <t>Operations Manager</t>
  </si>
  <si>
    <t>15-12-2020</t>
  </si>
  <si>
    <t>neha.reddy@coffeecore.com</t>
  </si>
  <si>
    <t>EMP011</t>
  </si>
  <si>
    <t>Arjun Desai</t>
  </si>
  <si>
    <t>21-05-2022</t>
  </si>
  <si>
    <t>arjun.desai@coffeecore.com</t>
  </si>
  <si>
    <t>EMP012</t>
  </si>
  <si>
    <t>Divya Pillai</t>
  </si>
  <si>
    <t>30-10-2021</t>
  </si>
  <si>
    <t>divya.pillai@coffeecore.com</t>
  </si>
  <si>
    <t>EMP013</t>
  </si>
  <si>
    <t>Manish Joshi</t>
  </si>
  <si>
    <t>Financial Analyst</t>
  </si>
  <si>
    <t>manish.joshi@coffeecore.com</t>
  </si>
  <si>
    <t>EMP014</t>
  </si>
  <si>
    <t>Ritu Choudhary</t>
  </si>
  <si>
    <t>25-07-2022</t>
  </si>
  <si>
    <t>ritu.choudhary@coffeecore.com</t>
  </si>
  <si>
    <t>EMP015</t>
  </si>
  <si>
    <t>Saurabh Tiwari</t>
  </si>
  <si>
    <t>saurabh.tiwari@coffeecore.com</t>
  </si>
  <si>
    <t>EMP016</t>
  </si>
  <si>
    <t>Kavita Bhatt</t>
  </si>
  <si>
    <t>QA Engineer</t>
  </si>
  <si>
    <t>19-09-2020</t>
  </si>
  <si>
    <t>kavita.bhatt@coffeecore.com</t>
  </si>
  <si>
    <t>EMP017</t>
  </si>
  <si>
    <t>Deepak Rana</t>
  </si>
  <si>
    <t>Sales Associate</t>
  </si>
  <si>
    <t>deepak.rana@coffeecore.com</t>
  </si>
  <si>
    <t>EMP018</t>
  </si>
  <si>
    <t>Shruti Agarwal</t>
  </si>
  <si>
    <t>16-06-2021</t>
  </si>
  <si>
    <t>shruti.agarwal@coffeecore.com</t>
  </si>
  <si>
    <t>EMP019</t>
  </si>
  <si>
    <t>Nikhil Bose</t>
  </si>
  <si>
    <t>Recruiter</t>
  </si>
  <si>
    <t>23-11-2022</t>
  </si>
  <si>
    <t>nikhil.bose@coffeecore.com</t>
  </si>
  <si>
    <t>EMP020</t>
  </si>
  <si>
    <t>Meera Krishnan</t>
  </si>
  <si>
    <t>Operations Associate</t>
  </si>
  <si>
    <t>meera.krishnan@coffeecore.com</t>
  </si>
  <si>
    <t>EMP021</t>
  </si>
  <si>
    <t>Suresh Yadav</t>
  </si>
  <si>
    <t>DevOps Engineer</t>
  </si>
  <si>
    <t>13-08-2019</t>
  </si>
  <si>
    <t>suresh.yadav@coffeecore.com</t>
  </si>
  <si>
    <t>EMP022</t>
  </si>
  <si>
    <t>Tanvi Shetty</t>
  </si>
  <si>
    <t>29-12-2022</t>
  </si>
  <si>
    <t>tanvi.shetty@coffeecore.com</t>
  </si>
  <si>
    <t>Resigned</t>
  </si>
  <si>
    <t>EMP023</t>
  </si>
  <si>
    <t>Akash Pandey</t>
  </si>
  <si>
    <t>akash.pandey@coffeecore.com</t>
  </si>
  <si>
    <t>EMP024</t>
  </si>
  <si>
    <t>Swati Mishra</t>
  </si>
  <si>
    <t>17-10-2021</t>
  </si>
  <si>
    <t>swati.mishra@coffeecore.com</t>
  </si>
  <si>
    <t>EMP025</t>
  </si>
  <si>
    <t>Gaurav Saxena</t>
  </si>
  <si>
    <t>26-01-2022</t>
  </si>
  <si>
    <t>gaurav.saxena@coffeecore.com</t>
  </si>
  <si>
    <t>EMP026</t>
  </si>
  <si>
    <t>Isha Kulkarni</t>
  </si>
  <si>
    <t>isha.kulkarni@coffeecore.com</t>
  </si>
  <si>
    <t>EMP027</t>
  </si>
  <si>
    <t>Vivek Chauhan</t>
  </si>
  <si>
    <t>vivek.chauhan@coffeecore.com</t>
  </si>
  <si>
    <t>EMP028</t>
  </si>
  <si>
    <t>Anushka Menon</t>
  </si>
  <si>
    <t>20-09-2022</t>
  </si>
  <si>
    <t>anushka.menon@coffeecore.com</t>
  </si>
  <si>
    <t>EMP029</t>
  </si>
  <si>
    <t>Harsh Vardhan</t>
  </si>
  <si>
    <t>harsh.vardhan@coffeecore.com</t>
  </si>
  <si>
    <t>EMP030</t>
  </si>
  <si>
    <t>Pallavi Rao</t>
  </si>
  <si>
    <t>14-03-2019</t>
  </si>
  <si>
    <t>pallavi.rao@coffeecore.com</t>
  </si>
  <si>
    <t>EMP031</t>
  </si>
  <si>
    <t>Sandeep Kumar</t>
  </si>
  <si>
    <t>28-11-2017</t>
  </si>
  <si>
    <t>sandeep.kumar@coffeecore.com</t>
  </si>
  <si>
    <t>EMP032</t>
  </si>
  <si>
    <t>Aditi Bansal</t>
  </si>
  <si>
    <t>aditi.bansal@coffeecore.com</t>
  </si>
  <si>
    <t>EMP033</t>
  </si>
  <si>
    <t>Rajesh Khanna</t>
  </si>
  <si>
    <t>rajesh.khanna@coffeecore.com</t>
  </si>
  <si>
    <t>EMP034</t>
  </si>
  <si>
    <t>Komal Thakur</t>
  </si>
  <si>
    <t>22-04-2018</t>
  </si>
  <si>
    <t>komal.thakur@coffeecore.com</t>
  </si>
  <si>
    <t>EMP035</t>
  </si>
  <si>
    <t>Yash Chopra</t>
  </si>
  <si>
    <t>15-08-2023</t>
  </si>
  <si>
    <t>yash.chopra@coffeecore.com</t>
  </si>
  <si>
    <t>EMP036</t>
  </si>
  <si>
    <t>Riya Dutta</t>
  </si>
  <si>
    <t>riya.dutta@coffeecore.com</t>
  </si>
  <si>
    <t>EMP037</t>
  </si>
  <si>
    <t>Mohit Sinha</t>
  </si>
  <si>
    <t>mohit.sinha@coffeecore.com</t>
  </si>
  <si>
    <t>EMP038</t>
  </si>
  <si>
    <t>Preeti Joshi</t>
  </si>
  <si>
    <t>18-02-2019</t>
  </si>
  <si>
    <t>preeti.joshi@coffeecore.com</t>
  </si>
  <si>
    <t>EMP039</t>
  </si>
  <si>
    <t>Abhishek Roy</t>
  </si>
  <si>
    <t>24-06-2023</t>
  </si>
  <si>
    <t>abhishek.roy@coffeecore.com</t>
  </si>
  <si>
    <t>EMP040</t>
  </si>
  <si>
    <t>Sunita Bhatia</t>
  </si>
  <si>
    <t>30-03-2022</t>
  </si>
  <si>
    <t>sunita.bhatia@coffeecore.com</t>
  </si>
  <si>
    <t>EMPLOYEE SEARCH</t>
  </si>
  <si>
    <t>Enter Employee ID:</t>
  </si>
  <si>
    <t xml:space="preserve"> Employment Status</t>
  </si>
  <si>
    <t>Date</t>
  </si>
  <si>
    <t>Employee Name</t>
  </si>
  <si>
    <t>Attendance Status</t>
  </si>
  <si>
    <t>Present</t>
  </si>
  <si>
    <t>Leave</t>
  </si>
  <si>
    <t>Absent</t>
  </si>
  <si>
    <t>Half Day</t>
  </si>
  <si>
    <t>Present Days</t>
  </si>
  <si>
    <t>Absent Days</t>
  </si>
  <si>
    <t>Leave Days</t>
  </si>
  <si>
    <t>Half Days</t>
  </si>
  <si>
    <t xml:space="preserve">Attendance </t>
  </si>
  <si>
    <t>Leave ID</t>
  </si>
  <si>
    <t>Leave Type</t>
  </si>
  <si>
    <t>Start Date</t>
  </si>
  <si>
    <t>End Date</t>
  </si>
  <si>
    <t>Total Days</t>
  </si>
  <si>
    <t>Approval Status</t>
  </si>
  <si>
    <t>LV001</t>
  </si>
  <si>
    <t>Casual Leave</t>
  </si>
  <si>
    <t>Approved</t>
  </si>
  <si>
    <t>LV002</t>
  </si>
  <si>
    <t>Sick Leave</t>
  </si>
  <si>
    <t>LV003</t>
  </si>
  <si>
    <t>LV004</t>
  </si>
  <si>
    <t>Emergency Leave</t>
  </si>
  <si>
    <t>Pending</t>
  </si>
  <si>
    <t>LV005</t>
  </si>
  <si>
    <t>LV006</t>
  </si>
  <si>
    <t>LV007</t>
  </si>
  <si>
    <t>LV008</t>
  </si>
  <si>
    <t>LV009</t>
  </si>
  <si>
    <t>LV010</t>
  </si>
  <si>
    <t>LV011</t>
  </si>
  <si>
    <t>LV012</t>
  </si>
  <si>
    <t>Rejected</t>
  </si>
  <si>
    <t>LV013</t>
  </si>
  <si>
    <t>LV014</t>
  </si>
  <si>
    <t>LV015</t>
  </si>
  <si>
    <t>LV016</t>
  </si>
  <si>
    <t>LV017</t>
  </si>
  <si>
    <t>LV018</t>
  </si>
  <si>
    <t>LV019</t>
  </si>
  <si>
    <t>LV020</t>
  </si>
  <si>
    <t>LV021</t>
  </si>
  <si>
    <t>LV022</t>
  </si>
  <si>
    <t>LV023</t>
  </si>
  <si>
    <t>LV024</t>
  </si>
  <si>
    <t>LV025</t>
  </si>
  <si>
    <t>LV026</t>
  </si>
  <si>
    <t>LV027</t>
  </si>
  <si>
    <t>LV028</t>
  </si>
  <si>
    <t>EMPLOYEE LEAVE HISTORY</t>
  </si>
  <si>
    <t>Enter Employee ID</t>
  </si>
  <si>
    <t>Total Leaves Taken</t>
  </si>
  <si>
    <t>Total Days Taken</t>
  </si>
  <si>
    <t>Approved Leaves</t>
  </si>
  <si>
    <t>Pending Leaves</t>
  </si>
  <si>
    <t>Basic Salary</t>
  </si>
  <si>
    <t>Attendance</t>
  </si>
  <si>
    <t>Leave Deduction</t>
  </si>
  <si>
    <t>Bonus</t>
  </si>
  <si>
    <t>Net Salary</t>
  </si>
  <si>
    <t>Attendance Score</t>
  </si>
  <si>
    <t>KPI Score</t>
  </si>
  <si>
    <t>Productivity Score</t>
  </si>
  <si>
    <t>Overall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</si>
</sst>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\₹#,##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2" borderId="0" xfId="0" applyFont="1" applyFill="1"/>
    <xf numFmtId="172" fontId="0" fillId="0" borderId="0" xfId="0" applyNumberFormat="1"/>
    <xf numFmtId="0" fontId="3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4A694-B4C3-49CE-8842-5E790F942F11}" name="tbl_Employee" displayName="tbl_Employee" ref="A1:J41" totalsRowShown="0" headerRowDxfId="29" dataDxfId="28">
  <autoFilter ref="A1:J41" xr:uid="{23B4A694-B4C3-49CE-8842-5E790F942F11}"/>
  <tableColumns count="10">
    <tableColumn id="1" xr3:uid="{82EB74DE-B0B1-4709-9624-0E4928817839}" name="Employee ID" dataDxfId="27"/>
    <tableColumn id="2" xr3:uid="{FB270462-8D71-4DDD-947C-22F63600627E}" name="Full Name" dataDxfId="26"/>
    <tableColumn id="3" xr3:uid="{9B7DD503-869A-4027-BA70-B09C8D3A9D64}" name="Gender" dataDxfId="25"/>
    <tableColumn id="4" xr3:uid="{130D54B2-A9C0-4695-9C29-AD2E41F54181}" name="Department" dataDxfId="24"/>
    <tableColumn id="5" xr3:uid="{6C56EB74-32A5-4B5E-A944-AFAE39D5B9CB}" name="Designation" dataDxfId="23"/>
    <tableColumn id="6" xr3:uid="{95A0CB84-C19B-45A2-ABCA-293ABE37EB48}" name="Joining Date" dataDxfId="22"/>
    <tableColumn id="7" xr3:uid="{0F79DF2F-416F-4B29-81B0-9FAAABD555B8}" name="Email" dataDxfId="21" dataCellStyle="Hyperlink"/>
    <tableColumn id="8" xr3:uid="{EEC7EA22-1488-49E3-BBBE-E14A5D40689F}" name="Phone Number" dataDxfId="20"/>
    <tableColumn id="9" xr3:uid="{80C2AE35-CD10-40EE-8510-B8DD8D833776}" name="Salary" dataDxfId="19"/>
    <tableColumn id="10" xr3:uid="{177466D3-CFF2-4009-A3C8-1D3C701D8878}" name="Employment Status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A7E98C-FC1B-4625-9B38-C20CDA24FC7F}" name="tbl_Leave" displayName="tbl_Leave" ref="A1:H29" totalsRowShown="0" headerRowDxfId="17" dataDxfId="16">
  <autoFilter ref="A1:H29" xr:uid="{00A7E98C-FC1B-4625-9B38-C20CDA24FC7F}"/>
  <tableColumns count="8">
    <tableColumn id="1" xr3:uid="{C8D797E8-ADFE-4DE2-9810-CE0225720947}" name="Leave ID" dataDxfId="15"/>
    <tableColumn id="2" xr3:uid="{8C8E285C-929A-4363-A874-40402BAF8E67}" name="Employee ID" dataDxfId="14"/>
    <tableColumn id="3" xr3:uid="{35858C47-1D8A-4117-A65E-E7F36C54357A}" name="Employee Name" dataDxfId="13"/>
    <tableColumn id="4" xr3:uid="{768E6FB6-6176-4527-A860-D797572720A1}" name="Leave Type" dataDxfId="12"/>
    <tableColumn id="5" xr3:uid="{4E5BA41F-61D0-4966-AB9C-BDE31BDB5DF6}" name="Start Date" dataDxfId="11"/>
    <tableColumn id="6" xr3:uid="{9A84AF38-D74D-4FAA-8C07-2B40F86AAB2A}" name="End Date" dataDxfId="10"/>
    <tableColumn id="7" xr3:uid="{AE25C3B1-0636-4FB2-828C-7A765F778CB1}" name="Total Days" dataDxfId="8">
      <calculatedColumnFormula>(F2-E2)+1</calculatedColumnFormula>
    </tableColumn>
    <tableColumn id="8" xr3:uid="{FC3E1067-513F-4C5D-87DD-E803CFA7EEDF}" name="Approval Status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nish.joshi@coffeecore.com" TargetMode="External"/><Relationship Id="rId18" Type="http://schemas.openxmlformats.org/officeDocument/2006/relationships/hyperlink" Target="mailto:shruti.agarwal@coffeecore.com" TargetMode="External"/><Relationship Id="rId26" Type="http://schemas.openxmlformats.org/officeDocument/2006/relationships/hyperlink" Target="mailto:isha.kulkarni@coffeecore.com" TargetMode="External"/><Relationship Id="rId39" Type="http://schemas.openxmlformats.org/officeDocument/2006/relationships/hyperlink" Target="mailto:abhishek.roy@coffeecore.com" TargetMode="External"/><Relationship Id="rId21" Type="http://schemas.openxmlformats.org/officeDocument/2006/relationships/hyperlink" Target="mailto:suresh.yadav@coffeecore.com" TargetMode="External"/><Relationship Id="rId34" Type="http://schemas.openxmlformats.org/officeDocument/2006/relationships/hyperlink" Target="mailto:komal.thakur@coffeecore.com" TargetMode="External"/><Relationship Id="rId7" Type="http://schemas.openxmlformats.org/officeDocument/2006/relationships/hyperlink" Target="mailto:karan.malhotra@coffeecore.com" TargetMode="External"/><Relationship Id="rId2" Type="http://schemas.openxmlformats.org/officeDocument/2006/relationships/hyperlink" Target="mailto:priya.sharma@coffeecore.com" TargetMode="External"/><Relationship Id="rId16" Type="http://schemas.openxmlformats.org/officeDocument/2006/relationships/hyperlink" Target="mailto:kavita.bhatt@coffeecore.com" TargetMode="External"/><Relationship Id="rId20" Type="http://schemas.openxmlformats.org/officeDocument/2006/relationships/hyperlink" Target="mailto:meera.krishnan@coffeecore.com" TargetMode="External"/><Relationship Id="rId29" Type="http://schemas.openxmlformats.org/officeDocument/2006/relationships/hyperlink" Target="mailto:harsh.vardhan@coffeecore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rohan.mehta@coffeecore.com" TargetMode="External"/><Relationship Id="rId6" Type="http://schemas.openxmlformats.org/officeDocument/2006/relationships/hyperlink" Target="mailto:anjali.nair@coffeecore.com" TargetMode="External"/><Relationship Id="rId11" Type="http://schemas.openxmlformats.org/officeDocument/2006/relationships/hyperlink" Target="mailto:arjun.desai@coffeecore.com" TargetMode="External"/><Relationship Id="rId24" Type="http://schemas.openxmlformats.org/officeDocument/2006/relationships/hyperlink" Target="mailto:swati.mishra@coffeecore.com" TargetMode="External"/><Relationship Id="rId32" Type="http://schemas.openxmlformats.org/officeDocument/2006/relationships/hyperlink" Target="mailto:aditi.bansal@coffeecore.com" TargetMode="External"/><Relationship Id="rId37" Type="http://schemas.openxmlformats.org/officeDocument/2006/relationships/hyperlink" Target="mailto:mohit.sinha@coffeecore.com" TargetMode="External"/><Relationship Id="rId40" Type="http://schemas.openxmlformats.org/officeDocument/2006/relationships/hyperlink" Target="mailto:sunita.bhatia@coffeecore.com" TargetMode="External"/><Relationship Id="rId5" Type="http://schemas.openxmlformats.org/officeDocument/2006/relationships/hyperlink" Target="mailto:vikram.singh@coffeecore.com" TargetMode="External"/><Relationship Id="rId15" Type="http://schemas.openxmlformats.org/officeDocument/2006/relationships/hyperlink" Target="mailto:saurabh.tiwari@coffeecore.com" TargetMode="External"/><Relationship Id="rId23" Type="http://schemas.openxmlformats.org/officeDocument/2006/relationships/hyperlink" Target="mailto:akash.pandey@coffeecore.com" TargetMode="External"/><Relationship Id="rId28" Type="http://schemas.openxmlformats.org/officeDocument/2006/relationships/hyperlink" Target="mailto:anushka.menon@coffeecore.com" TargetMode="External"/><Relationship Id="rId36" Type="http://schemas.openxmlformats.org/officeDocument/2006/relationships/hyperlink" Target="mailto:riya.dutta@coffeecore.com" TargetMode="External"/><Relationship Id="rId10" Type="http://schemas.openxmlformats.org/officeDocument/2006/relationships/hyperlink" Target="mailto:neha.reddy@coffeecore.com" TargetMode="External"/><Relationship Id="rId19" Type="http://schemas.openxmlformats.org/officeDocument/2006/relationships/hyperlink" Target="mailto:nikhil.bose@coffeecore.com" TargetMode="External"/><Relationship Id="rId31" Type="http://schemas.openxmlformats.org/officeDocument/2006/relationships/hyperlink" Target="mailto:sandeep.kumar@coffeecore.com" TargetMode="External"/><Relationship Id="rId4" Type="http://schemas.openxmlformats.org/officeDocument/2006/relationships/hyperlink" Target="mailto:sneha.verma@coffeecore.com" TargetMode="External"/><Relationship Id="rId9" Type="http://schemas.openxmlformats.org/officeDocument/2006/relationships/hyperlink" Target="mailto:rahul.kapoor@coffeecore.com" TargetMode="External"/><Relationship Id="rId14" Type="http://schemas.openxmlformats.org/officeDocument/2006/relationships/hyperlink" Target="mailto:ritu.choudhary@coffeecore.com" TargetMode="External"/><Relationship Id="rId22" Type="http://schemas.openxmlformats.org/officeDocument/2006/relationships/hyperlink" Target="mailto:tanvi.shetty@coffeecore.com" TargetMode="External"/><Relationship Id="rId27" Type="http://schemas.openxmlformats.org/officeDocument/2006/relationships/hyperlink" Target="mailto:vivek.chauhan@coffeecore.com" TargetMode="External"/><Relationship Id="rId30" Type="http://schemas.openxmlformats.org/officeDocument/2006/relationships/hyperlink" Target="mailto:pallavi.rao@coffeecore.com" TargetMode="External"/><Relationship Id="rId35" Type="http://schemas.openxmlformats.org/officeDocument/2006/relationships/hyperlink" Target="mailto:yash.chopra@coffeecore.com" TargetMode="External"/><Relationship Id="rId8" Type="http://schemas.openxmlformats.org/officeDocument/2006/relationships/hyperlink" Target="mailto:pooja.iyer@coffeecore.com" TargetMode="External"/><Relationship Id="rId3" Type="http://schemas.openxmlformats.org/officeDocument/2006/relationships/hyperlink" Target="mailto:aman.gupta@coffeecore.com" TargetMode="External"/><Relationship Id="rId12" Type="http://schemas.openxmlformats.org/officeDocument/2006/relationships/hyperlink" Target="mailto:divya.pillai@coffeecore.com" TargetMode="External"/><Relationship Id="rId17" Type="http://schemas.openxmlformats.org/officeDocument/2006/relationships/hyperlink" Target="mailto:deepak.rana@coffeecore.com" TargetMode="External"/><Relationship Id="rId25" Type="http://schemas.openxmlformats.org/officeDocument/2006/relationships/hyperlink" Target="mailto:gaurav.saxena@coffeecore.com" TargetMode="External"/><Relationship Id="rId33" Type="http://schemas.openxmlformats.org/officeDocument/2006/relationships/hyperlink" Target="mailto:rajesh.khanna@coffeecore.com" TargetMode="External"/><Relationship Id="rId38" Type="http://schemas.openxmlformats.org/officeDocument/2006/relationships/hyperlink" Target="mailto:preeti.joshi@coffeecor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6E6E-0C21-4CA3-91EF-28B45F0E7D4F}">
  <dimension ref="A1:U41"/>
  <sheetViews>
    <sheetView tabSelected="1" zoomScale="70" zoomScaleNormal="70" workbookViewId="0">
      <selection activeCell="N12" sqref="N12"/>
    </sheetView>
  </sheetViews>
  <sheetFormatPr defaultRowHeight="14.5"/>
  <cols>
    <col min="1" max="1" width="17.7265625" bestFit="1" customWidth="1"/>
    <col min="2" max="2" width="15.54296875" bestFit="1" customWidth="1"/>
    <col min="3" max="3" width="13.453125" bestFit="1" customWidth="1"/>
    <col min="4" max="4" width="17.26953125" bestFit="1" customWidth="1"/>
    <col min="5" max="5" width="18.36328125" bestFit="1" customWidth="1"/>
    <col min="6" max="6" width="17.36328125" style="3" bestFit="1" customWidth="1"/>
    <col min="7" max="7" width="28.54296875" bestFit="1" customWidth="1"/>
    <col min="8" max="8" width="19.7265625" bestFit="1" customWidth="1"/>
    <col min="9" max="9" width="12.26953125" bestFit="1" customWidth="1"/>
    <col min="10" max="10" width="23.6328125" bestFit="1" customWidth="1"/>
    <col min="13" max="13" width="22.453125" customWidth="1"/>
    <col min="14" max="14" width="31.08984375" style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t="s">
        <v>178</v>
      </c>
      <c r="P1" s="5" t="s">
        <v>0</v>
      </c>
      <c r="Q1" s="5" t="s">
        <v>188</v>
      </c>
      <c r="R1" s="5" t="s">
        <v>189</v>
      </c>
      <c r="S1" s="5" t="s">
        <v>190</v>
      </c>
      <c r="T1" s="5" t="s">
        <v>191</v>
      </c>
      <c r="U1" s="5" t="s">
        <v>192</v>
      </c>
    </row>
    <row r="2" spans="1:21" ht="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8">
        <v>44533</v>
      </c>
      <c r="G2" s="4" t="s">
        <v>15</v>
      </c>
      <c r="H2" s="2">
        <v>9876543210</v>
      </c>
      <c r="I2" s="2">
        <v>45000</v>
      </c>
      <c r="J2" s="2" t="s">
        <v>16</v>
      </c>
      <c r="M2" s="6" t="s">
        <v>179</v>
      </c>
      <c r="N2" s="10" t="s">
        <v>63</v>
      </c>
      <c r="P2" t="str" cm="1">
        <f t="array" ref="P2:P41">tbl_Employee[Employee ID]</f>
        <v>EMP001</v>
      </c>
      <c r="Q2">
        <f>COUNTIFS(Attendance!$B$2:$B$1201, P2, Attendance!$E$2:$E$1201, "Present")</f>
        <v>26</v>
      </c>
      <c r="R2">
        <f>COUNTIFS(Attendance!$B$2:$B$1201, P2, Attendance!$E$2:$E$1201, "Absent")</f>
        <v>4</v>
      </c>
      <c r="S2">
        <f>COUNTIFS(Attendance!$B$2:$B$1201, P2, Attendance!$E$2:$E$1201, "Leave")</f>
        <v>0</v>
      </c>
      <c r="T2">
        <f>COUNTIFS(Attendance!$B$2:$B$1201, P2, Attendance!$E$2:$E$1201, "Half Day")</f>
        <v>0</v>
      </c>
      <c r="U2">
        <f>ROUND((Q2 + T2*0.5) / (Q2+R2+S2+T2) * 100, 1)</f>
        <v>86.7</v>
      </c>
    </row>
    <row r="3" spans="1:21" ht="2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8">
        <v>43958</v>
      </c>
      <c r="G3" s="4" t="s">
        <v>22</v>
      </c>
      <c r="H3" s="2">
        <v>9876543211</v>
      </c>
      <c r="I3" s="2">
        <v>38000</v>
      </c>
      <c r="J3" s="2" t="s">
        <v>16</v>
      </c>
      <c r="M3" s="7" t="s">
        <v>1</v>
      </c>
      <c r="N3" s="10" t="str">
        <f>_xlfn.XLOOKUP($N$2, tbl_Employee[Employee ID], tbl_Employee[Full Name])</f>
        <v>Arjun Desai</v>
      </c>
      <c r="P3" t="str">
        <v>EMP002</v>
      </c>
      <c r="Q3">
        <f>COUNTIFS(Attendance!$B$2:$B$1201, P3, Attendance!$E$2:$E$1201, "Present")</f>
        <v>24</v>
      </c>
      <c r="R3">
        <f>COUNTIFS(Attendance!$B$2:$B$1201, P3, Attendance!$E$2:$E$1201, "Absent")</f>
        <v>6</v>
      </c>
      <c r="S3">
        <f>COUNTIFS(Attendance!$B$2:$B$1201, P3, Attendance!$E$2:$E$1201, "Leave")</f>
        <v>0</v>
      </c>
      <c r="T3">
        <f>COUNTIFS(Attendance!$B$2:$B$1201, P3, Attendance!$E$2:$E$1201, "Half Day")</f>
        <v>0</v>
      </c>
      <c r="U3">
        <f t="shared" ref="U3:U41" si="0">ROUND((Q3 + T3*0.5) / (Q3+R3+S3+T3) * 100, 1)</f>
        <v>80</v>
      </c>
    </row>
    <row r="4" spans="1:21" ht="25" customHeight="1">
      <c r="A4" s="2" t="s">
        <v>23</v>
      </c>
      <c r="B4" s="2" t="s">
        <v>24</v>
      </c>
      <c r="C4" s="2" t="s">
        <v>12</v>
      </c>
      <c r="D4" s="2" t="s">
        <v>25</v>
      </c>
      <c r="E4" s="2" t="s">
        <v>26</v>
      </c>
      <c r="F4" s="8" t="s">
        <v>27</v>
      </c>
      <c r="G4" s="4" t="s">
        <v>28</v>
      </c>
      <c r="H4" s="2">
        <v>9876543212</v>
      </c>
      <c r="I4" s="2">
        <v>55000</v>
      </c>
      <c r="J4" s="2" t="s">
        <v>16</v>
      </c>
      <c r="M4" s="6" t="s">
        <v>2</v>
      </c>
      <c r="N4" s="10" t="str">
        <f>_xlfn.XLOOKUP($N$2, tbl_Employee[Employee ID], tbl_Employee[Gender])</f>
        <v>Male</v>
      </c>
      <c r="P4" t="str">
        <v>EMP003</v>
      </c>
      <c r="Q4">
        <f>COUNTIFS(Attendance!$B$2:$B$1201, P4, Attendance!$E$2:$E$1201, "Present")</f>
        <v>27</v>
      </c>
      <c r="R4">
        <f>COUNTIFS(Attendance!$B$2:$B$1201, P4, Attendance!$E$2:$E$1201, "Absent")</f>
        <v>1</v>
      </c>
      <c r="S4">
        <f>COUNTIFS(Attendance!$B$2:$B$1201, P4, Attendance!$E$2:$E$1201, "Leave")</f>
        <v>1</v>
      </c>
      <c r="T4">
        <f>COUNTIFS(Attendance!$B$2:$B$1201, P4, Attendance!$E$2:$E$1201, "Half Day")</f>
        <v>1</v>
      </c>
      <c r="U4">
        <f t="shared" si="0"/>
        <v>91.7</v>
      </c>
    </row>
    <row r="5" spans="1:21" ht="25" customHeight="1">
      <c r="A5" s="2" t="s">
        <v>29</v>
      </c>
      <c r="B5" s="2" t="s">
        <v>30</v>
      </c>
      <c r="C5" s="2" t="s">
        <v>19</v>
      </c>
      <c r="D5" s="2" t="s">
        <v>31</v>
      </c>
      <c r="E5" s="2" t="s">
        <v>32</v>
      </c>
      <c r="F5" s="8" t="s">
        <v>33</v>
      </c>
      <c r="G5" s="4" t="s">
        <v>34</v>
      </c>
      <c r="H5" s="2">
        <v>9876543213</v>
      </c>
      <c r="I5" s="2">
        <v>42000</v>
      </c>
      <c r="J5" s="2" t="s">
        <v>16</v>
      </c>
      <c r="M5" s="6" t="s">
        <v>3</v>
      </c>
      <c r="N5" s="10" t="str">
        <f>_xlfn.XLOOKUP($N$2, tbl_Employee[Employee ID], tbl_Employee[Department])</f>
        <v>IT</v>
      </c>
      <c r="P5" t="str">
        <v>EMP004</v>
      </c>
      <c r="Q5">
        <f>COUNTIFS(Attendance!$B$2:$B$1201, P5, Attendance!$E$2:$E$1201, "Present")</f>
        <v>24</v>
      </c>
      <c r="R5">
        <f>COUNTIFS(Attendance!$B$2:$B$1201, P5, Attendance!$E$2:$E$1201, "Absent")</f>
        <v>2</v>
      </c>
      <c r="S5">
        <f>COUNTIFS(Attendance!$B$2:$B$1201, P5, Attendance!$E$2:$E$1201, "Leave")</f>
        <v>4</v>
      </c>
      <c r="T5">
        <f>COUNTIFS(Attendance!$B$2:$B$1201, P5, Attendance!$E$2:$E$1201, "Half Day")</f>
        <v>0</v>
      </c>
      <c r="U5">
        <f t="shared" si="0"/>
        <v>80</v>
      </c>
    </row>
    <row r="6" spans="1:21" ht="25" customHeight="1">
      <c r="A6" s="2" t="s">
        <v>35</v>
      </c>
      <c r="B6" s="2" t="s">
        <v>36</v>
      </c>
      <c r="C6" s="2" t="s">
        <v>12</v>
      </c>
      <c r="D6" s="2" t="s">
        <v>37</v>
      </c>
      <c r="E6" s="2" t="s">
        <v>38</v>
      </c>
      <c r="F6" s="8">
        <v>44480</v>
      </c>
      <c r="G6" s="4" t="s">
        <v>39</v>
      </c>
      <c r="H6" s="2">
        <v>9876543214</v>
      </c>
      <c r="I6" s="2">
        <v>36000</v>
      </c>
      <c r="J6" s="2" t="s">
        <v>16</v>
      </c>
      <c r="M6" s="6" t="s">
        <v>4</v>
      </c>
      <c r="N6" s="10" t="str">
        <f>_xlfn.XLOOKUP($N$2, tbl_Employee[Employee ID], tbl_Employee[Designation])</f>
        <v>Software Engineer</v>
      </c>
      <c r="P6" t="str">
        <v>EMP005</v>
      </c>
      <c r="Q6">
        <f>COUNTIFS(Attendance!$B$2:$B$1201, P6, Attendance!$E$2:$E$1201, "Present")</f>
        <v>26</v>
      </c>
      <c r="R6">
        <f>COUNTIFS(Attendance!$B$2:$B$1201, P6, Attendance!$E$2:$E$1201, "Absent")</f>
        <v>2</v>
      </c>
      <c r="S6">
        <f>COUNTIFS(Attendance!$B$2:$B$1201, P6, Attendance!$E$2:$E$1201, "Leave")</f>
        <v>1</v>
      </c>
      <c r="T6">
        <f>COUNTIFS(Attendance!$B$2:$B$1201, P6, Attendance!$E$2:$E$1201, "Half Day")</f>
        <v>1</v>
      </c>
      <c r="U6">
        <f t="shared" si="0"/>
        <v>88.3</v>
      </c>
    </row>
    <row r="7" spans="1:21" ht="25" customHeight="1">
      <c r="A7" s="2" t="s">
        <v>40</v>
      </c>
      <c r="B7" s="2" t="s">
        <v>41</v>
      </c>
      <c r="C7" s="2" t="s">
        <v>19</v>
      </c>
      <c r="D7" s="2" t="s">
        <v>13</v>
      </c>
      <c r="E7" s="2" t="s">
        <v>42</v>
      </c>
      <c r="F7" s="8">
        <v>43161</v>
      </c>
      <c r="G7" s="4" t="s">
        <v>43</v>
      </c>
      <c r="H7" s="2">
        <v>9876543215</v>
      </c>
      <c r="I7" s="2">
        <v>62000</v>
      </c>
      <c r="J7" s="2" t="s">
        <v>16</v>
      </c>
      <c r="M7" s="6" t="s">
        <v>5</v>
      </c>
      <c r="N7" s="10" t="str">
        <f>_xlfn.XLOOKUP($N$2, tbl_Employee[Employee ID], tbl_Employee[Joining Date])</f>
        <v>21-05-2022</v>
      </c>
      <c r="P7" t="str">
        <v>EMP006</v>
      </c>
      <c r="Q7">
        <f>COUNTIFS(Attendance!$B$2:$B$1201, P7, Attendance!$E$2:$E$1201, "Present")</f>
        <v>25</v>
      </c>
      <c r="R7">
        <f>COUNTIFS(Attendance!$B$2:$B$1201, P7, Attendance!$E$2:$E$1201, "Absent")</f>
        <v>3</v>
      </c>
      <c r="S7">
        <f>COUNTIFS(Attendance!$B$2:$B$1201, P7, Attendance!$E$2:$E$1201, "Leave")</f>
        <v>1</v>
      </c>
      <c r="T7">
        <f>COUNTIFS(Attendance!$B$2:$B$1201, P7, Attendance!$E$2:$E$1201, "Half Day")</f>
        <v>1</v>
      </c>
      <c r="U7">
        <f t="shared" si="0"/>
        <v>85</v>
      </c>
    </row>
    <row r="8" spans="1:21" ht="25" customHeight="1">
      <c r="A8" s="2" t="s">
        <v>44</v>
      </c>
      <c r="B8" s="2" t="s">
        <v>45</v>
      </c>
      <c r="C8" s="2" t="s">
        <v>12</v>
      </c>
      <c r="D8" s="2" t="s">
        <v>25</v>
      </c>
      <c r="E8" s="2" t="s">
        <v>46</v>
      </c>
      <c r="F8" s="8" t="s">
        <v>47</v>
      </c>
      <c r="G8" s="4" t="s">
        <v>48</v>
      </c>
      <c r="H8" s="2">
        <v>9876543216</v>
      </c>
      <c r="I8" s="2">
        <v>32000</v>
      </c>
      <c r="J8" s="2" t="s">
        <v>16</v>
      </c>
      <c r="M8" s="6" t="s">
        <v>6</v>
      </c>
      <c r="N8" s="10" t="str">
        <f>_xlfn.XLOOKUP($N$2, tbl_Employee[Employee ID], tbl_Employee[Email])</f>
        <v>arjun.desai@coffeecore.com</v>
      </c>
      <c r="P8" t="str">
        <v>EMP007</v>
      </c>
      <c r="Q8">
        <f>COUNTIFS(Attendance!$B$2:$B$1201, P8, Attendance!$E$2:$E$1201, "Present")</f>
        <v>27</v>
      </c>
      <c r="R8">
        <f>COUNTIFS(Attendance!$B$2:$B$1201, P8, Attendance!$E$2:$E$1201, "Absent")</f>
        <v>3</v>
      </c>
      <c r="S8">
        <f>COUNTIFS(Attendance!$B$2:$B$1201, P8, Attendance!$E$2:$E$1201, "Leave")</f>
        <v>0</v>
      </c>
      <c r="T8">
        <f>COUNTIFS(Attendance!$B$2:$B$1201, P8, Attendance!$E$2:$E$1201, "Half Day")</f>
        <v>0</v>
      </c>
      <c r="U8">
        <f t="shared" si="0"/>
        <v>90</v>
      </c>
    </row>
    <row r="9" spans="1:21" ht="25" customHeight="1">
      <c r="A9" s="2" t="s">
        <v>49</v>
      </c>
      <c r="B9" s="2" t="s">
        <v>50</v>
      </c>
      <c r="C9" s="2" t="s">
        <v>19</v>
      </c>
      <c r="D9" s="2" t="s">
        <v>31</v>
      </c>
      <c r="E9" s="2" t="s">
        <v>51</v>
      </c>
      <c r="F9" s="8" t="s">
        <v>52</v>
      </c>
      <c r="G9" s="4" t="s">
        <v>53</v>
      </c>
      <c r="H9" s="2">
        <v>9876543217</v>
      </c>
      <c r="I9" s="2">
        <v>60000</v>
      </c>
      <c r="J9" s="2" t="s">
        <v>16</v>
      </c>
      <c r="M9" s="6" t="s">
        <v>7</v>
      </c>
      <c r="N9" s="10">
        <f>_xlfn.XLOOKUP($N$2, tbl_Employee[Employee ID], tbl_Employee[Phone Number])</f>
        <v>9876543220</v>
      </c>
      <c r="P9" t="str">
        <v>EMP008</v>
      </c>
      <c r="Q9">
        <f>COUNTIFS(Attendance!$B$2:$B$1201, P9, Attendance!$E$2:$E$1201, "Present")</f>
        <v>22</v>
      </c>
      <c r="R9">
        <f>COUNTIFS(Attendance!$B$2:$B$1201, P9, Attendance!$E$2:$E$1201, "Absent")</f>
        <v>4</v>
      </c>
      <c r="S9">
        <f>COUNTIFS(Attendance!$B$2:$B$1201, P9, Attendance!$E$2:$E$1201, "Leave")</f>
        <v>4</v>
      </c>
      <c r="T9">
        <f>COUNTIFS(Attendance!$B$2:$B$1201, P9, Attendance!$E$2:$E$1201, "Half Day")</f>
        <v>0</v>
      </c>
      <c r="U9">
        <f t="shared" si="0"/>
        <v>73.3</v>
      </c>
    </row>
    <row r="10" spans="1:21" ht="25" customHeight="1">
      <c r="A10" s="2" t="s">
        <v>54</v>
      </c>
      <c r="B10" s="2" t="s">
        <v>55</v>
      </c>
      <c r="C10" s="2" t="s">
        <v>12</v>
      </c>
      <c r="D10" s="2" t="s">
        <v>20</v>
      </c>
      <c r="E10" s="2" t="s">
        <v>56</v>
      </c>
      <c r="F10" s="8">
        <v>42982</v>
      </c>
      <c r="G10" s="4" t="s">
        <v>57</v>
      </c>
      <c r="H10" s="2">
        <v>9876543218</v>
      </c>
      <c r="I10" s="2">
        <v>58000</v>
      </c>
      <c r="J10" s="2" t="s">
        <v>16</v>
      </c>
      <c r="M10" s="6" t="s">
        <v>8</v>
      </c>
      <c r="N10" s="10">
        <f>_xlfn.XLOOKUP($N$2, tbl_Employee[Employee ID], tbl_Employee[Salary])</f>
        <v>44000</v>
      </c>
      <c r="P10" t="str">
        <v>EMP009</v>
      </c>
      <c r="Q10">
        <f>COUNTIFS(Attendance!$B$2:$B$1201, P10, Attendance!$E$2:$E$1201, "Present")</f>
        <v>25</v>
      </c>
      <c r="R10">
        <f>COUNTIFS(Attendance!$B$2:$B$1201, P10, Attendance!$E$2:$E$1201, "Absent")</f>
        <v>1</v>
      </c>
      <c r="S10">
        <f>COUNTIFS(Attendance!$B$2:$B$1201, P10, Attendance!$E$2:$E$1201, "Leave")</f>
        <v>4</v>
      </c>
      <c r="T10">
        <f>COUNTIFS(Attendance!$B$2:$B$1201, P10, Attendance!$E$2:$E$1201, "Half Day")</f>
        <v>0</v>
      </c>
      <c r="U10">
        <f t="shared" si="0"/>
        <v>83.3</v>
      </c>
    </row>
    <row r="11" spans="1:21" ht="25" customHeight="1">
      <c r="A11" s="2" t="s">
        <v>58</v>
      </c>
      <c r="B11" s="2" t="s">
        <v>59</v>
      </c>
      <c r="C11" s="2" t="s">
        <v>19</v>
      </c>
      <c r="D11" s="2" t="s">
        <v>37</v>
      </c>
      <c r="E11" s="2" t="s">
        <v>60</v>
      </c>
      <c r="F11" s="8" t="s">
        <v>61</v>
      </c>
      <c r="G11" s="4" t="s">
        <v>62</v>
      </c>
      <c r="H11" s="2">
        <v>9876543219</v>
      </c>
      <c r="I11" s="2">
        <v>56000</v>
      </c>
      <c r="J11" s="2" t="s">
        <v>16</v>
      </c>
      <c r="M11" s="6" t="s">
        <v>180</v>
      </c>
      <c r="N11" s="11" t="str">
        <f>_xlfn.XLOOKUP($N$2, tbl_Employee[Employee ID], tbl_Employee[Employment Status])</f>
        <v>Active</v>
      </c>
      <c r="P11" t="str">
        <v>EMP010</v>
      </c>
      <c r="Q11">
        <f>COUNTIFS(Attendance!$B$2:$B$1201, P11, Attendance!$E$2:$E$1201, "Present")</f>
        <v>26</v>
      </c>
      <c r="R11">
        <f>COUNTIFS(Attendance!$B$2:$B$1201, P11, Attendance!$E$2:$E$1201, "Absent")</f>
        <v>3</v>
      </c>
      <c r="S11">
        <f>COUNTIFS(Attendance!$B$2:$B$1201, P11, Attendance!$E$2:$E$1201, "Leave")</f>
        <v>1</v>
      </c>
      <c r="T11">
        <f>COUNTIFS(Attendance!$B$2:$B$1201, P11, Attendance!$E$2:$E$1201, "Half Day")</f>
        <v>0</v>
      </c>
      <c r="U11">
        <f t="shared" si="0"/>
        <v>86.7</v>
      </c>
    </row>
    <row r="12" spans="1:21" ht="25" customHeight="1">
      <c r="A12" s="2" t="s">
        <v>63</v>
      </c>
      <c r="B12" s="2" t="s">
        <v>64</v>
      </c>
      <c r="C12" s="2" t="s">
        <v>12</v>
      </c>
      <c r="D12" s="2" t="s">
        <v>13</v>
      </c>
      <c r="E12" s="2" t="s">
        <v>14</v>
      </c>
      <c r="F12" s="8" t="s">
        <v>65</v>
      </c>
      <c r="G12" s="4" t="s">
        <v>66</v>
      </c>
      <c r="H12" s="2">
        <v>9876543220</v>
      </c>
      <c r="I12" s="2">
        <v>44000</v>
      </c>
      <c r="J12" s="2" t="s">
        <v>16</v>
      </c>
      <c r="P12" t="str">
        <v>EMP011</v>
      </c>
      <c r="Q12">
        <f>COUNTIFS(Attendance!$B$2:$B$1201, P12, Attendance!$E$2:$E$1201, "Present")</f>
        <v>24</v>
      </c>
      <c r="R12">
        <f>COUNTIFS(Attendance!$B$2:$B$1201, P12, Attendance!$E$2:$E$1201, "Absent")</f>
        <v>3</v>
      </c>
      <c r="S12">
        <f>COUNTIFS(Attendance!$B$2:$B$1201, P12, Attendance!$E$2:$E$1201, "Leave")</f>
        <v>2</v>
      </c>
      <c r="T12">
        <f>COUNTIFS(Attendance!$B$2:$B$1201, P12, Attendance!$E$2:$E$1201, "Half Day")</f>
        <v>1</v>
      </c>
      <c r="U12">
        <f t="shared" si="0"/>
        <v>81.7</v>
      </c>
    </row>
    <row r="13" spans="1:21" ht="25" customHeight="1">
      <c r="A13" s="2" t="s">
        <v>67</v>
      </c>
      <c r="B13" s="2" t="s">
        <v>68</v>
      </c>
      <c r="C13" s="2" t="s">
        <v>19</v>
      </c>
      <c r="D13" s="2" t="s">
        <v>25</v>
      </c>
      <c r="E13" s="2" t="s">
        <v>46</v>
      </c>
      <c r="F13" s="8" t="s">
        <v>69</v>
      </c>
      <c r="G13" s="4" t="s">
        <v>70</v>
      </c>
      <c r="H13" s="2">
        <v>9876543221</v>
      </c>
      <c r="I13" s="2">
        <v>33000</v>
      </c>
      <c r="J13" s="2" t="s">
        <v>16</v>
      </c>
      <c r="P13" t="str">
        <v>EMP012</v>
      </c>
      <c r="Q13">
        <f>COUNTIFS(Attendance!$B$2:$B$1201, P13, Attendance!$E$2:$E$1201, "Present")</f>
        <v>26</v>
      </c>
      <c r="R13">
        <f>COUNTIFS(Attendance!$B$2:$B$1201, P13, Attendance!$E$2:$E$1201, "Absent")</f>
        <v>3</v>
      </c>
      <c r="S13">
        <f>COUNTIFS(Attendance!$B$2:$B$1201, P13, Attendance!$E$2:$E$1201, "Leave")</f>
        <v>1</v>
      </c>
      <c r="T13">
        <f>COUNTIFS(Attendance!$B$2:$B$1201, P13, Attendance!$E$2:$E$1201, "Half Day")</f>
        <v>0</v>
      </c>
      <c r="U13">
        <f t="shared" si="0"/>
        <v>86.7</v>
      </c>
    </row>
    <row r="14" spans="1:21" ht="25" customHeight="1">
      <c r="A14" s="2" t="s">
        <v>71</v>
      </c>
      <c r="B14" s="2" t="s">
        <v>72</v>
      </c>
      <c r="C14" s="2" t="s">
        <v>12</v>
      </c>
      <c r="D14" s="2" t="s">
        <v>31</v>
      </c>
      <c r="E14" s="2" t="s">
        <v>73</v>
      </c>
      <c r="F14" s="8">
        <v>45231</v>
      </c>
      <c r="G14" s="4" t="s">
        <v>74</v>
      </c>
      <c r="H14" s="2">
        <v>9876543222</v>
      </c>
      <c r="I14" s="2">
        <v>40000</v>
      </c>
      <c r="J14" s="2" t="s">
        <v>16</v>
      </c>
      <c r="P14" t="str">
        <v>EMP013</v>
      </c>
      <c r="Q14">
        <f>COUNTIFS(Attendance!$B$2:$B$1201, P14, Attendance!$E$2:$E$1201, "Present")</f>
        <v>25</v>
      </c>
      <c r="R14">
        <f>COUNTIFS(Attendance!$B$2:$B$1201, P14, Attendance!$E$2:$E$1201, "Absent")</f>
        <v>0</v>
      </c>
      <c r="S14">
        <f>COUNTIFS(Attendance!$B$2:$B$1201, P14, Attendance!$E$2:$E$1201, "Leave")</f>
        <v>4</v>
      </c>
      <c r="T14">
        <f>COUNTIFS(Attendance!$B$2:$B$1201, P14, Attendance!$E$2:$E$1201, "Half Day")</f>
        <v>1</v>
      </c>
      <c r="U14">
        <f t="shared" si="0"/>
        <v>85</v>
      </c>
    </row>
    <row r="15" spans="1:21" ht="25" customHeight="1">
      <c r="A15" s="2" t="s">
        <v>75</v>
      </c>
      <c r="B15" s="2" t="s">
        <v>76</v>
      </c>
      <c r="C15" s="2" t="s">
        <v>19</v>
      </c>
      <c r="D15" s="2" t="s">
        <v>20</v>
      </c>
      <c r="E15" s="2" t="s">
        <v>21</v>
      </c>
      <c r="F15" s="8" t="s">
        <v>77</v>
      </c>
      <c r="G15" s="4" t="s">
        <v>78</v>
      </c>
      <c r="H15" s="2">
        <v>9876543223</v>
      </c>
      <c r="I15" s="2">
        <v>37000</v>
      </c>
      <c r="J15" s="2" t="s">
        <v>16</v>
      </c>
      <c r="P15" t="str">
        <v>EMP014</v>
      </c>
      <c r="Q15">
        <f>COUNTIFS(Attendance!$B$2:$B$1201, P15, Attendance!$E$2:$E$1201, "Present")</f>
        <v>26</v>
      </c>
      <c r="R15">
        <f>COUNTIFS(Attendance!$B$2:$B$1201, P15, Attendance!$E$2:$E$1201, "Absent")</f>
        <v>2</v>
      </c>
      <c r="S15">
        <f>COUNTIFS(Attendance!$B$2:$B$1201, P15, Attendance!$E$2:$E$1201, "Leave")</f>
        <v>2</v>
      </c>
      <c r="T15">
        <f>COUNTIFS(Attendance!$B$2:$B$1201, P15, Attendance!$E$2:$E$1201, "Half Day")</f>
        <v>0</v>
      </c>
      <c r="U15">
        <f t="shared" si="0"/>
        <v>86.7</v>
      </c>
    </row>
    <row r="16" spans="1:21" ht="25" customHeight="1">
      <c r="A16" s="2" t="s">
        <v>79</v>
      </c>
      <c r="B16" s="2" t="s">
        <v>80</v>
      </c>
      <c r="C16" s="2" t="s">
        <v>12</v>
      </c>
      <c r="D16" s="2" t="s">
        <v>37</v>
      </c>
      <c r="E16" s="2" t="s">
        <v>38</v>
      </c>
      <c r="F16" s="8">
        <v>44411</v>
      </c>
      <c r="G16" s="4" t="s">
        <v>81</v>
      </c>
      <c r="H16" s="2">
        <v>9876543224</v>
      </c>
      <c r="I16" s="2">
        <v>35000</v>
      </c>
      <c r="J16" s="2" t="s">
        <v>16</v>
      </c>
      <c r="P16" t="str">
        <v>EMP015</v>
      </c>
      <c r="Q16">
        <f>COUNTIFS(Attendance!$B$2:$B$1201, P16, Attendance!$E$2:$E$1201, "Present")</f>
        <v>28</v>
      </c>
      <c r="R16">
        <f>COUNTIFS(Attendance!$B$2:$B$1201, P16, Attendance!$E$2:$E$1201, "Absent")</f>
        <v>2</v>
      </c>
      <c r="S16">
        <f>COUNTIFS(Attendance!$B$2:$B$1201, P16, Attendance!$E$2:$E$1201, "Leave")</f>
        <v>0</v>
      </c>
      <c r="T16">
        <f>COUNTIFS(Attendance!$B$2:$B$1201, P16, Attendance!$E$2:$E$1201, "Half Day")</f>
        <v>0</v>
      </c>
      <c r="U16">
        <f t="shared" si="0"/>
        <v>93.3</v>
      </c>
    </row>
    <row r="17" spans="1:21" ht="25" customHeight="1">
      <c r="A17" s="2" t="s">
        <v>82</v>
      </c>
      <c r="B17" s="2" t="s">
        <v>83</v>
      </c>
      <c r="C17" s="2" t="s">
        <v>19</v>
      </c>
      <c r="D17" s="2" t="s">
        <v>13</v>
      </c>
      <c r="E17" s="2" t="s">
        <v>84</v>
      </c>
      <c r="F17" s="8" t="s">
        <v>85</v>
      </c>
      <c r="G17" s="4" t="s">
        <v>86</v>
      </c>
      <c r="H17" s="2">
        <v>9876543225</v>
      </c>
      <c r="I17" s="2">
        <v>41000</v>
      </c>
      <c r="J17" s="2" t="s">
        <v>16</v>
      </c>
      <c r="P17" t="str">
        <v>EMP016</v>
      </c>
      <c r="Q17">
        <f>COUNTIFS(Attendance!$B$2:$B$1201, P17, Attendance!$E$2:$E$1201, "Present")</f>
        <v>25</v>
      </c>
      <c r="R17">
        <f>COUNTIFS(Attendance!$B$2:$B$1201, P17, Attendance!$E$2:$E$1201, "Absent")</f>
        <v>4</v>
      </c>
      <c r="S17">
        <f>COUNTIFS(Attendance!$B$2:$B$1201, P17, Attendance!$E$2:$E$1201, "Leave")</f>
        <v>1</v>
      </c>
      <c r="T17">
        <f>COUNTIFS(Attendance!$B$2:$B$1201, P17, Attendance!$E$2:$E$1201, "Half Day")</f>
        <v>0</v>
      </c>
      <c r="U17">
        <f t="shared" si="0"/>
        <v>83.3</v>
      </c>
    </row>
    <row r="18" spans="1:21" ht="25" customHeight="1">
      <c r="A18" s="2" t="s">
        <v>87</v>
      </c>
      <c r="B18" s="2" t="s">
        <v>88</v>
      </c>
      <c r="C18" s="2" t="s">
        <v>12</v>
      </c>
      <c r="D18" s="2" t="s">
        <v>25</v>
      </c>
      <c r="E18" s="2" t="s">
        <v>89</v>
      </c>
      <c r="F18" s="8">
        <v>45324</v>
      </c>
      <c r="G18" s="4" t="s">
        <v>90</v>
      </c>
      <c r="H18" s="2">
        <v>9876543226</v>
      </c>
      <c r="I18" s="2">
        <v>28000</v>
      </c>
      <c r="J18" s="2" t="s">
        <v>16</v>
      </c>
      <c r="P18" t="str">
        <v>EMP017</v>
      </c>
      <c r="Q18">
        <f>COUNTIFS(Attendance!$B$2:$B$1201, P18, Attendance!$E$2:$E$1201, "Present")</f>
        <v>27</v>
      </c>
      <c r="R18">
        <f>COUNTIFS(Attendance!$B$2:$B$1201, P18, Attendance!$E$2:$E$1201, "Absent")</f>
        <v>1</v>
      </c>
      <c r="S18">
        <f>COUNTIFS(Attendance!$B$2:$B$1201, P18, Attendance!$E$2:$E$1201, "Leave")</f>
        <v>1</v>
      </c>
      <c r="T18">
        <f>COUNTIFS(Attendance!$B$2:$B$1201, P18, Attendance!$E$2:$E$1201, "Half Day")</f>
        <v>1</v>
      </c>
      <c r="U18">
        <f t="shared" si="0"/>
        <v>91.7</v>
      </c>
    </row>
    <row r="19" spans="1:21" ht="25" customHeight="1">
      <c r="A19" s="2" t="s">
        <v>91</v>
      </c>
      <c r="B19" s="2" t="s">
        <v>92</v>
      </c>
      <c r="C19" s="2" t="s">
        <v>19</v>
      </c>
      <c r="D19" s="2" t="s">
        <v>31</v>
      </c>
      <c r="E19" s="2" t="s">
        <v>32</v>
      </c>
      <c r="F19" s="8" t="s">
        <v>93</v>
      </c>
      <c r="G19" s="4" t="s">
        <v>94</v>
      </c>
      <c r="H19" s="2">
        <v>9876543227</v>
      </c>
      <c r="I19" s="2">
        <v>39000</v>
      </c>
      <c r="J19" s="2" t="s">
        <v>16</v>
      </c>
      <c r="P19" t="str">
        <v>EMP018</v>
      </c>
      <c r="Q19">
        <f>COUNTIFS(Attendance!$B$2:$B$1201, P19, Attendance!$E$2:$E$1201, "Present")</f>
        <v>24</v>
      </c>
      <c r="R19">
        <f>COUNTIFS(Attendance!$B$2:$B$1201, P19, Attendance!$E$2:$E$1201, "Absent")</f>
        <v>3</v>
      </c>
      <c r="S19">
        <f>COUNTIFS(Attendance!$B$2:$B$1201, P19, Attendance!$E$2:$E$1201, "Leave")</f>
        <v>3</v>
      </c>
      <c r="T19">
        <f>COUNTIFS(Attendance!$B$2:$B$1201, P19, Attendance!$E$2:$E$1201, "Half Day")</f>
        <v>0</v>
      </c>
      <c r="U19">
        <f t="shared" si="0"/>
        <v>80</v>
      </c>
    </row>
    <row r="20" spans="1:21" ht="25" customHeight="1">
      <c r="A20" s="2" t="s">
        <v>95</v>
      </c>
      <c r="B20" s="2" t="s">
        <v>96</v>
      </c>
      <c r="C20" s="2" t="s">
        <v>12</v>
      </c>
      <c r="D20" s="2" t="s">
        <v>20</v>
      </c>
      <c r="E20" s="2" t="s">
        <v>97</v>
      </c>
      <c r="F20" s="8" t="s">
        <v>98</v>
      </c>
      <c r="G20" s="4" t="s">
        <v>99</v>
      </c>
      <c r="H20" s="2">
        <v>9876543228</v>
      </c>
      <c r="I20" s="2">
        <v>34000</v>
      </c>
      <c r="J20" s="2" t="s">
        <v>16</v>
      </c>
      <c r="P20" t="str">
        <v>EMP019</v>
      </c>
      <c r="Q20">
        <f>COUNTIFS(Attendance!$B$2:$B$1201, P20, Attendance!$E$2:$E$1201, "Present")</f>
        <v>24</v>
      </c>
      <c r="R20">
        <f>COUNTIFS(Attendance!$B$2:$B$1201, P20, Attendance!$E$2:$E$1201, "Absent")</f>
        <v>4</v>
      </c>
      <c r="S20">
        <f>COUNTIFS(Attendance!$B$2:$B$1201, P20, Attendance!$E$2:$E$1201, "Leave")</f>
        <v>2</v>
      </c>
      <c r="T20">
        <f>COUNTIFS(Attendance!$B$2:$B$1201, P20, Attendance!$E$2:$E$1201, "Half Day")</f>
        <v>0</v>
      </c>
      <c r="U20">
        <f t="shared" si="0"/>
        <v>80</v>
      </c>
    </row>
    <row r="21" spans="1:21" ht="25" customHeight="1">
      <c r="A21" s="2" t="s">
        <v>100</v>
      </c>
      <c r="B21" s="2" t="s">
        <v>101</v>
      </c>
      <c r="C21" s="2" t="s">
        <v>19</v>
      </c>
      <c r="D21" s="2" t="s">
        <v>37</v>
      </c>
      <c r="E21" s="2" t="s">
        <v>102</v>
      </c>
      <c r="F21" s="8">
        <v>45111</v>
      </c>
      <c r="G21" s="4" t="s">
        <v>103</v>
      </c>
      <c r="H21" s="2">
        <v>9876543229</v>
      </c>
      <c r="I21" s="2">
        <v>30000</v>
      </c>
      <c r="J21" s="2" t="s">
        <v>16</v>
      </c>
      <c r="P21" t="str">
        <v>EMP020</v>
      </c>
      <c r="Q21">
        <f>COUNTIFS(Attendance!$B$2:$B$1201, P21, Attendance!$E$2:$E$1201, "Present")</f>
        <v>28</v>
      </c>
      <c r="R21">
        <f>COUNTIFS(Attendance!$B$2:$B$1201, P21, Attendance!$E$2:$E$1201, "Absent")</f>
        <v>1</v>
      </c>
      <c r="S21">
        <f>COUNTIFS(Attendance!$B$2:$B$1201, P21, Attendance!$E$2:$E$1201, "Leave")</f>
        <v>1</v>
      </c>
      <c r="T21">
        <f>COUNTIFS(Attendance!$B$2:$B$1201, P21, Attendance!$E$2:$E$1201, "Half Day")</f>
        <v>0</v>
      </c>
      <c r="U21">
        <f t="shared" si="0"/>
        <v>93.3</v>
      </c>
    </row>
    <row r="22" spans="1:21" ht="25" customHeight="1">
      <c r="A22" s="2" t="s">
        <v>104</v>
      </c>
      <c r="B22" s="2" t="s">
        <v>105</v>
      </c>
      <c r="C22" s="2" t="s">
        <v>12</v>
      </c>
      <c r="D22" s="2" t="s">
        <v>13</v>
      </c>
      <c r="E22" s="2" t="s">
        <v>106</v>
      </c>
      <c r="F22" s="8" t="s">
        <v>107</v>
      </c>
      <c r="G22" s="4" t="s">
        <v>108</v>
      </c>
      <c r="H22" s="2">
        <v>9876543230</v>
      </c>
      <c r="I22" s="2">
        <v>48000</v>
      </c>
      <c r="J22" s="2" t="s">
        <v>16</v>
      </c>
      <c r="P22" t="str">
        <v>EMP021</v>
      </c>
      <c r="Q22">
        <f>COUNTIFS(Attendance!$B$2:$B$1201, P22, Attendance!$E$2:$E$1201, "Present")</f>
        <v>27</v>
      </c>
      <c r="R22">
        <f>COUNTIFS(Attendance!$B$2:$B$1201, P22, Attendance!$E$2:$E$1201, "Absent")</f>
        <v>2</v>
      </c>
      <c r="S22">
        <f>COUNTIFS(Attendance!$B$2:$B$1201, P22, Attendance!$E$2:$E$1201, "Leave")</f>
        <v>1</v>
      </c>
      <c r="T22">
        <f>COUNTIFS(Attendance!$B$2:$B$1201, P22, Attendance!$E$2:$E$1201, "Half Day")</f>
        <v>0</v>
      </c>
      <c r="U22">
        <f t="shared" si="0"/>
        <v>90</v>
      </c>
    </row>
    <row r="23" spans="1:21" ht="25" customHeight="1">
      <c r="A23" s="2" t="s">
        <v>109</v>
      </c>
      <c r="B23" s="2" t="s">
        <v>110</v>
      </c>
      <c r="C23" s="2" t="s">
        <v>19</v>
      </c>
      <c r="D23" s="2" t="s">
        <v>25</v>
      </c>
      <c r="E23" s="2" t="s">
        <v>46</v>
      </c>
      <c r="F23" s="8" t="s">
        <v>111</v>
      </c>
      <c r="G23" s="4" t="s">
        <v>112</v>
      </c>
      <c r="H23" s="2">
        <v>9876543231</v>
      </c>
      <c r="I23" s="2">
        <v>33000</v>
      </c>
      <c r="J23" s="2" t="s">
        <v>113</v>
      </c>
      <c r="P23" t="str">
        <v>EMP022</v>
      </c>
      <c r="Q23">
        <f>COUNTIFS(Attendance!$B$2:$B$1201, P23, Attendance!$E$2:$E$1201, "Present")</f>
        <v>26</v>
      </c>
      <c r="R23">
        <f>COUNTIFS(Attendance!$B$2:$B$1201, P23, Attendance!$E$2:$E$1201, "Absent")</f>
        <v>3</v>
      </c>
      <c r="S23">
        <f>COUNTIFS(Attendance!$B$2:$B$1201, P23, Attendance!$E$2:$E$1201, "Leave")</f>
        <v>1</v>
      </c>
      <c r="T23">
        <f>COUNTIFS(Attendance!$B$2:$B$1201, P23, Attendance!$E$2:$E$1201, "Half Day")</f>
        <v>0</v>
      </c>
      <c r="U23">
        <f t="shared" si="0"/>
        <v>86.7</v>
      </c>
    </row>
    <row r="24" spans="1:21" ht="25" customHeight="1">
      <c r="A24" s="2" t="s">
        <v>114</v>
      </c>
      <c r="B24" s="2" t="s">
        <v>115</v>
      </c>
      <c r="C24" s="2" t="s">
        <v>12</v>
      </c>
      <c r="D24" s="2" t="s">
        <v>31</v>
      </c>
      <c r="E24" s="2" t="s">
        <v>51</v>
      </c>
      <c r="F24" s="8">
        <v>43195</v>
      </c>
      <c r="G24" s="4" t="s">
        <v>116</v>
      </c>
      <c r="H24" s="2">
        <v>9876543232</v>
      </c>
      <c r="I24" s="2">
        <v>59000</v>
      </c>
      <c r="J24" s="2" t="s">
        <v>16</v>
      </c>
      <c r="P24" t="str">
        <v>EMP023</v>
      </c>
      <c r="Q24">
        <f>COUNTIFS(Attendance!$B$2:$B$1201, P24, Attendance!$E$2:$E$1201, "Present")</f>
        <v>27</v>
      </c>
      <c r="R24">
        <f>COUNTIFS(Attendance!$B$2:$B$1201, P24, Attendance!$E$2:$E$1201, "Absent")</f>
        <v>1</v>
      </c>
      <c r="S24">
        <f>COUNTIFS(Attendance!$B$2:$B$1201, P24, Attendance!$E$2:$E$1201, "Leave")</f>
        <v>2</v>
      </c>
      <c r="T24">
        <f>COUNTIFS(Attendance!$B$2:$B$1201, P24, Attendance!$E$2:$E$1201, "Half Day")</f>
        <v>0</v>
      </c>
      <c r="U24">
        <f t="shared" si="0"/>
        <v>90</v>
      </c>
    </row>
    <row r="25" spans="1:21" ht="25" customHeight="1">
      <c r="A25" s="2" t="s">
        <v>117</v>
      </c>
      <c r="B25" s="2" t="s">
        <v>118</v>
      </c>
      <c r="C25" s="2" t="s">
        <v>19</v>
      </c>
      <c r="D25" s="2" t="s">
        <v>20</v>
      </c>
      <c r="E25" s="2" t="s">
        <v>21</v>
      </c>
      <c r="F25" s="8" t="s">
        <v>119</v>
      </c>
      <c r="G25" s="4" t="s">
        <v>120</v>
      </c>
      <c r="H25" s="2">
        <v>9876543233</v>
      </c>
      <c r="I25" s="2">
        <v>36000</v>
      </c>
      <c r="J25" s="2" t="s">
        <v>16</v>
      </c>
      <c r="P25" t="str">
        <v>EMP024</v>
      </c>
      <c r="Q25">
        <f>COUNTIFS(Attendance!$B$2:$B$1201, P25, Attendance!$E$2:$E$1201, "Present")</f>
        <v>26</v>
      </c>
      <c r="R25">
        <f>COUNTIFS(Attendance!$B$2:$B$1201, P25, Attendance!$E$2:$E$1201, "Absent")</f>
        <v>4</v>
      </c>
      <c r="S25">
        <f>COUNTIFS(Attendance!$B$2:$B$1201, P25, Attendance!$E$2:$E$1201, "Leave")</f>
        <v>0</v>
      </c>
      <c r="T25">
        <f>COUNTIFS(Attendance!$B$2:$B$1201, P25, Attendance!$E$2:$E$1201, "Half Day")</f>
        <v>0</v>
      </c>
      <c r="U25">
        <f t="shared" si="0"/>
        <v>86.7</v>
      </c>
    </row>
    <row r="26" spans="1:21" ht="25" customHeight="1">
      <c r="A26" s="2" t="s">
        <v>121</v>
      </c>
      <c r="B26" s="2" t="s">
        <v>122</v>
      </c>
      <c r="C26" s="2" t="s">
        <v>12</v>
      </c>
      <c r="D26" s="2" t="s">
        <v>37</v>
      </c>
      <c r="E26" s="2" t="s">
        <v>38</v>
      </c>
      <c r="F26" s="8" t="s">
        <v>123</v>
      </c>
      <c r="G26" s="4" t="s">
        <v>124</v>
      </c>
      <c r="H26" s="2">
        <v>9876543234</v>
      </c>
      <c r="I26" s="2">
        <v>35000</v>
      </c>
      <c r="J26" s="2" t="s">
        <v>16</v>
      </c>
      <c r="P26" t="str">
        <v>EMP025</v>
      </c>
      <c r="Q26">
        <f>COUNTIFS(Attendance!$B$2:$B$1201, P26, Attendance!$E$2:$E$1201, "Present")</f>
        <v>29</v>
      </c>
      <c r="R26">
        <f>COUNTIFS(Attendance!$B$2:$B$1201, P26, Attendance!$E$2:$E$1201, "Absent")</f>
        <v>1</v>
      </c>
      <c r="S26">
        <f>COUNTIFS(Attendance!$B$2:$B$1201, P26, Attendance!$E$2:$E$1201, "Leave")</f>
        <v>0</v>
      </c>
      <c r="T26">
        <f>COUNTIFS(Attendance!$B$2:$B$1201, P26, Attendance!$E$2:$E$1201, "Half Day")</f>
        <v>0</v>
      </c>
      <c r="U26">
        <f t="shared" si="0"/>
        <v>96.7</v>
      </c>
    </row>
    <row r="27" spans="1:21" ht="25" customHeight="1">
      <c r="A27" s="2" t="s">
        <v>125</v>
      </c>
      <c r="B27" s="2" t="s">
        <v>126</v>
      </c>
      <c r="C27" s="2" t="s">
        <v>19</v>
      </c>
      <c r="D27" s="2" t="s">
        <v>13</v>
      </c>
      <c r="E27" s="2" t="s">
        <v>14</v>
      </c>
      <c r="F27" s="8">
        <v>45175</v>
      </c>
      <c r="G27" s="4" t="s">
        <v>127</v>
      </c>
      <c r="H27" s="2">
        <v>9876543235</v>
      </c>
      <c r="I27" s="2">
        <v>43000</v>
      </c>
      <c r="J27" s="2" t="s">
        <v>16</v>
      </c>
      <c r="P27" t="str">
        <v>EMP026</v>
      </c>
      <c r="Q27">
        <f>COUNTIFS(Attendance!$B$2:$B$1201, P27, Attendance!$E$2:$E$1201, "Present")</f>
        <v>25</v>
      </c>
      <c r="R27">
        <f>COUNTIFS(Attendance!$B$2:$B$1201, P27, Attendance!$E$2:$E$1201, "Absent")</f>
        <v>3</v>
      </c>
      <c r="S27">
        <f>COUNTIFS(Attendance!$B$2:$B$1201, P27, Attendance!$E$2:$E$1201, "Leave")</f>
        <v>1</v>
      </c>
      <c r="T27">
        <f>COUNTIFS(Attendance!$B$2:$B$1201, P27, Attendance!$E$2:$E$1201, "Half Day")</f>
        <v>1</v>
      </c>
      <c r="U27">
        <f t="shared" si="0"/>
        <v>85</v>
      </c>
    </row>
    <row r="28" spans="1:21" ht="25" customHeight="1">
      <c r="A28" s="2" t="s">
        <v>128</v>
      </c>
      <c r="B28" s="2" t="s">
        <v>129</v>
      </c>
      <c r="C28" s="2" t="s">
        <v>12</v>
      </c>
      <c r="D28" s="2" t="s">
        <v>25</v>
      </c>
      <c r="E28" s="2" t="s">
        <v>26</v>
      </c>
      <c r="F28" s="8">
        <v>44167</v>
      </c>
      <c r="G28" s="4" t="s">
        <v>130</v>
      </c>
      <c r="H28" s="2">
        <v>9876543236</v>
      </c>
      <c r="I28" s="2">
        <v>54000</v>
      </c>
      <c r="J28" s="2" t="s">
        <v>16</v>
      </c>
      <c r="P28" t="str">
        <v>EMP027</v>
      </c>
      <c r="Q28">
        <f>COUNTIFS(Attendance!$B$2:$B$1201, P28, Attendance!$E$2:$E$1201, "Present")</f>
        <v>26</v>
      </c>
      <c r="R28">
        <f>COUNTIFS(Attendance!$B$2:$B$1201, P28, Attendance!$E$2:$E$1201, "Absent")</f>
        <v>2</v>
      </c>
      <c r="S28">
        <f>COUNTIFS(Attendance!$B$2:$B$1201, P28, Attendance!$E$2:$E$1201, "Leave")</f>
        <v>2</v>
      </c>
      <c r="T28">
        <f>COUNTIFS(Attendance!$B$2:$B$1201, P28, Attendance!$E$2:$E$1201, "Half Day")</f>
        <v>0</v>
      </c>
      <c r="U28">
        <f t="shared" si="0"/>
        <v>86.7</v>
      </c>
    </row>
    <row r="29" spans="1:21" ht="25" customHeight="1">
      <c r="A29" s="2" t="s">
        <v>131</v>
      </c>
      <c r="B29" s="2" t="s">
        <v>132</v>
      </c>
      <c r="C29" s="2" t="s">
        <v>19</v>
      </c>
      <c r="D29" s="2" t="s">
        <v>31</v>
      </c>
      <c r="E29" s="2" t="s">
        <v>73</v>
      </c>
      <c r="F29" s="8" t="s">
        <v>133</v>
      </c>
      <c r="G29" s="4" t="s">
        <v>134</v>
      </c>
      <c r="H29" s="2">
        <v>9876543237</v>
      </c>
      <c r="I29" s="2">
        <v>40000</v>
      </c>
      <c r="J29" s="2" t="s">
        <v>16</v>
      </c>
      <c r="P29" t="str">
        <v>EMP028</v>
      </c>
      <c r="Q29">
        <f>COUNTIFS(Attendance!$B$2:$B$1201, P29, Attendance!$E$2:$E$1201, "Present")</f>
        <v>22</v>
      </c>
      <c r="R29">
        <f>COUNTIFS(Attendance!$B$2:$B$1201, P29, Attendance!$E$2:$E$1201, "Absent")</f>
        <v>7</v>
      </c>
      <c r="S29">
        <f>COUNTIFS(Attendance!$B$2:$B$1201, P29, Attendance!$E$2:$E$1201, "Leave")</f>
        <v>1</v>
      </c>
      <c r="T29">
        <f>COUNTIFS(Attendance!$B$2:$B$1201, P29, Attendance!$E$2:$E$1201, "Half Day")</f>
        <v>0</v>
      </c>
      <c r="U29">
        <f t="shared" si="0"/>
        <v>73.3</v>
      </c>
    </row>
    <row r="30" spans="1:21" ht="25" customHeight="1">
      <c r="A30" s="2" t="s">
        <v>135</v>
      </c>
      <c r="B30" s="2" t="s">
        <v>136</v>
      </c>
      <c r="C30" s="2" t="s">
        <v>12</v>
      </c>
      <c r="D30" s="2" t="s">
        <v>20</v>
      </c>
      <c r="E30" s="2" t="s">
        <v>97</v>
      </c>
      <c r="F30" s="8">
        <v>44262</v>
      </c>
      <c r="G30" s="4" t="s">
        <v>137</v>
      </c>
      <c r="H30" s="2">
        <v>9876543238</v>
      </c>
      <c r="I30" s="2">
        <v>33000</v>
      </c>
      <c r="J30" s="2" t="s">
        <v>16</v>
      </c>
      <c r="P30" t="str">
        <v>EMP029</v>
      </c>
      <c r="Q30">
        <f>COUNTIFS(Attendance!$B$2:$B$1201, P30, Attendance!$E$2:$E$1201, "Present")</f>
        <v>28</v>
      </c>
      <c r="R30">
        <f>COUNTIFS(Attendance!$B$2:$B$1201, P30, Attendance!$E$2:$E$1201, "Absent")</f>
        <v>1</v>
      </c>
      <c r="S30">
        <f>COUNTIFS(Attendance!$B$2:$B$1201, P30, Attendance!$E$2:$E$1201, "Leave")</f>
        <v>1</v>
      </c>
      <c r="T30">
        <f>COUNTIFS(Attendance!$B$2:$B$1201, P30, Attendance!$E$2:$E$1201, "Half Day")</f>
        <v>0</v>
      </c>
      <c r="U30">
        <f t="shared" si="0"/>
        <v>93.3</v>
      </c>
    </row>
    <row r="31" spans="1:21" ht="25" customHeight="1">
      <c r="A31" s="2" t="s">
        <v>138</v>
      </c>
      <c r="B31" s="2" t="s">
        <v>139</v>
      </c>
      <c r="C31" s="2" t="s">
        <v>19</v>
      </c>
      <c r="D31" s="2" t="s">
        <v>37</v>
      </c>
      <c r="E31" s="2" t="s">
        <v>60</v>
      </c>
      <c r="F31" s="8" t="s">
        <v>140</v>
      </c>
      <c r="G31" s="4" t="s">
        <v>141</v>
      </c>
      <c r="H31" s="2">
        <v>9876543239</v>
      </c>
      <c r="I31" s="2">
        <v>57000</v>
      </c>
      <c r="J31" s="2" t="s">
        <v>16</v>
      </c>
      <c r="P31" t="str">
        <v>EMP030</v>
      </c>
      <c r="Q31">
        <f>COUNTIFS(Attendance!$B$2:$B$1201, P31, Attendance!$E$2:$E$1201, "Present")</f>
        <v>27</v>
      </c>
      <c r="R31">
        <f>COUNTIFS(Attendance!$B$2:$B$1201, P31, Attendance!$E$2:$E$1201, "Absent")</f>
        <v>2</v>
      </c>
      <c r="S31">
        <f>COUNTIFS(Attendance!$B$2:$B$1201, P31, Attendance!$E$2:$E$1201, "Leave")</f>
        <v>1</v>
      </c>
      <c r="T31">
        <f>COUNTIFS(Attendance!$B$2:$B$1201, P31, Attendance!$E$2:$E$1201, "Half Day")</f>
        <v>0</v>
      </c>
      <c r="U31">
        <f t="shared" si="0"/>
        <v>90</v>
      </c>
    </row>
    <row r="32" spans="1:21" ht="25" customHeight="1">
      <c r="A32" s="2" t="s">
        <v>142</v>
      </c>
      <c r="B32" s="2" t="s">
        <v>143</v>
      </c>
      <c r="C32" s="2" t="s">
        <v>12</v>
      </c>
      <c r="D32" s="2" t="s">
        <v>13</v>
      </c>
      <c r="E32" s="2" t="s">
        <v>42</v>
      </c>
      <c r="F32" s="8" t="s">
        <v>144</v>
      </c>
      <c r="G32" s="4" t="s">
        <v>145</v>
      </c>
      <c r="H32" s="2">
        <v>9876543240</v>
      </c>
      <c r="I32" s="2">
        <v>63000</v>
      </c>
      <c r="J32" s="2" t="s">
        <v>16</v>
      </c>
      <c r="P32" t="str">
        <v>EMP031</v>
      </c>
      <c r="Q32">
        <f>COUNTIFS(Attendance!$B$2:$B$1201, P32, Attendance!$E$2:$E$1201, "Present")</f>
        <v>26</v>
      </c>
      <c r="R32">
        <f>COUNTIFS(Attendance!$B$2:$B$1201, P32, Attendance!$E$2:$E$1201, "Absent")</f>
        <v>2</v>
      </c>
      <c r="S32">
        <f>COUNTIFS(Attendance!$B$2:$B$1201, P32, Attendance!$E$2:$E$1201, "Leave")</f>
        <v>2</v>
      </c>
      <c r="T32">
        <f>COUNTIFS(Attendance!$B$2:$B$1201, P32, Attendance!$E$2:$E$1201, "Half Day")</f>
        <v>0</v>
      </c>
      <c r="U32">
        <f t="shared" si="0"/>
        <v>86.7</v>
      </c>
    </row>
    <row r="33" spans="1:21" ht="25" customHeight="1">
      <c r="A33" s="2" t="s">
        <v>146</v>
      </c>
      <c r="B33" s="2" t="s">
        <v>147</v>
      </c>
      <c r="C33" s="2" t="s">
        <v>19</v>
      </c>
      <c r="D33" s="2" t="s">
        <v>25</v>
      </c>
      <c r="E33" s="2" t="s">
        <v>89</v>
      </c>
      <c r="F33" s="8">
        <v>45448</v>
      </c>
      <c r="G33" s="4" t="s">
        <v>148</v>
      </c>
      <c r="H33" s="2">
        <v>9876543241</v>
      </c>
      <c r="I33" s="2">
        <v>27000</v>
      </c>
      <c r="J33" s="2" t="s">
        <v>16</v>
      </c>
      <c r="P33" t="str">
        <v>EMP032</v>
      </c>
      <c r="Q33">
        <f>COUNTIFS(Attendance!$B$2:$B$1201, P33, Attendance!$E$2:$E$1201, "Present")</f>
        <v>26</v>
      </c>
      <c r="R33">
        <f>COUNTIFS(Attendance!$B$2:$B$1201, P33, Attendance!$E$2:$E$1201, "Absent")</f>
        <v>4</v>
      </c>
      <c r="S33">
        <f>COUNTIFS(Attendance!$B$2:$B$1201, P33, Attendance!$E$2:$E$1201, "Leave")</f>
        <v>0</v>
      </c>
      <c r="T33">
        <f>COUNTIFS(Attendance!$B$2:$B$1201, P33, Attendance!$E$2:$E$1201, "Half Day")</f>
        <v>0</v>
      </c>
      <c r="U33">
        <f t="shared" si="0"/>
        <v>86.7</v>
      </c>
    </row>
    <row r="34" spans="1:21" ht="25" customHeight="1">
      <c r="A34" s="2" t="s">
        <v>149</v>
      </c>
      <c r="B34" s="2" t="s">
        <v>150</v>
      </c>
      <c r="C34" s="2" t="s">
        <v>12</v>
      </c>
      <c r="D34" s="2" t="s">
        <v>31</v>
      </c>
      <c r="E34" s="2" t="s">
        <v>32</v>
      </c>
      <c r="F34" s="8">
        <v>44145</v>
      </c>
      <c r="G34" s="4" t="s">
        <v>151</v>
      </c>
      <c r="H34" s="2">
        <v>9876543242</v>
      </c>
      <c r="I34" s="2">
        <v>41000</v>
      </c>
      <c r="J34" s="2" t="s">
        <v>113</v>
      </c>
      <c r="P34" t="str">
        <v>EMP033</v>
      </c>
      <c r="Q34">
        <f>COUNTIFS(Attendance!$B$2:$B$1201, P34, Attendance!$E$2:$E$1201, "Present")</f>
        <v>25</v>
      </c>
      <c r="R34">
        <f>COUNTIFS(Attendance!$B$2:$B$1201, P34, Attendance!$E$2:$E$1201, "Absent")</f>
        <v>2</v>
      </c>
      <c r="S34">
        <f>COUNTIFS(Attendance!$B$2:$B$1201, P34, Attendance!$E$2:$E$1201, "Leave")</f>
        <v>2</v>
      </c>
      <c r="T34">
        <f>COUNTIFS(Attendance!$B$2:$B$1201, P34, Attendance!$E$2:$E$1201, "Half Day")</f>
        <v>1</v>
      </c>
      <c r="U34">
        <f t="shared" si="0"/>
        <v>85</v>
      </c>
    </row>
    <row r="35" spans="1:21" ht="25" customHeight="1">
      <c r="A35" s="2" t="s">
        <v>152</v>
      </c>
      <c r="B35" s="2" t="s">
        <v>153</v>
      </c>
      <c r="C35" s="2" t="s">
        <v>19</v>
      </c>
      <c r="D35" s="2" t="s">
        <v>20</v>
      </c>
      <c r="E35" s="2" t="s">
        <v>56</v>
      </c>
      <c r="F35" s="8" t="s">
        <v>154</v>
      </c>
      <c r="G35" s="4" t="s">
        <v>155</v>
      </c>
      <c r="H35" s="2">
        <v>9876543243</v>
      </c>
      <c r="I35" s="2">
        <v>59000</v>
      </c>
      <c r="J35" s="2" t="s">
        <v>16</v>
      </c>
      <c r="P35" t="str">
        <v>EMP034</v>
      </c>
      <c r="Q35">
        <f>COUNTIFS(Attendance!$B$2:$B$1201, P35, Attendance!$E$2:$E$1201, "Present")</f>
        <v>28</v>
      </c>
      <c r="R35">
        <f>COUNTIFS(Attendance!$B$2:$B$1201, P35, Attendance!$E$2:$E$1201, "Absent")</f>
        <v>1</v>
      </c>
      <c r="S35">
        <f>COUNTIFS(Attendance!$B$2:$B$1201, P35, Attendance!$E$2:$E$1201, "Leave")</f>
        <v>1</v>
      </c>
      <c r="T35">
        <f>COUNTIFS(Attendance!$B$2:$B$1201, P35, Attendance!$E$2:$E$1201, "Half Day")</f>
        <v>0</v>
      </c>
      <c r="U35">
        <f t="shared" si="0"/>
        <v>93.3</v>
      </c>
    </row>
    <row r="36" spans="1:21" ht="25" customHeight="1">
      <c r="A36" s="2" t="s">
        <v>156</v>
      </c>
      <c r="B36" s="2" t="s">
        <v>157</v>
      </c>
      <c r="C36" s="2" t="s">
        <v>12</v>
      </c>
      <c r="D36" s="2" t="s">
        <v>37</v>
      </c>
      <c r="E36" s="2" t="s">
        <v>102</v>
      </c>
      <c r="F36" s="8" t="s">
        <v>158</v>
      </c>
      <c r="G36" s="4" t="s">
        <v>159</v>
      </c>
      <c r="H36" s="2">
        <v>9876543244</v>
      </c>
      <c r="I36" s="2">
        <v>29000</v>
      </c>
      <c r="J36" s="2" t="s">
        <v>16</v>
      </c>
      <c r="P36" t="str">
        <v>EMP035</v>
      </c>
      <c r="Q36">
        <f>COUNTIFS(Attendance!$B$2:$B$1201, P36, Attendance!$E$2:$E$1201, "Present")</f>
        <v>24</v>
      </c>
      <c r="R36">
        <f>COUNTIFS(Attendance!$B$2:$B$1201, P36, Attendance!$E$2:$E$1201, "Absent")</f>
        <v>4</v>
      </c>
      <c r="S36">
        <f>COUNTIFS(Attendance!$B$2:$B$1201, P36, Attendance!$E$2:$E$1201, "Leave")</f>
        <v>2</v>
      </c>
      <c r="T36">
        <f>COUNTIFS(Attendance!$B$2:$B$1201, P36, Attendance!$E$2:$E$1201, "Half Day")</f>
        <v>0</v>
      </c>
      <c r="U36">
        <f t="shared" si="0"/>
        <v>80</v>
      </c>
    </row>
    <row r="37" spans="1:21" ht="25" customHeight="1">
      <c r="A37" s="2" t="s">
        <v>160</v>
      </c>
      <c r="B37" s="2" t="s">
        <v>161</v>
      </c>
      <c r="C37" s="2" t="s">
        <v>19</v>
      </c>
      <c r="D37" s="2" t="s">
        <v>13</v>
      </c>
      <c r="E37" s="2" t="s">
        <v>84</v>
      </c>
      <c r="F37" s="8">
        <v>44562</v>
      </c>
      <c r="G37" s="4" t="s">
        <v>162</v>
      </c>
      <c r="H37" s="2">
        <v>9876543245</v>
      </c>
      <c r="I37" s="2">
        <v>40000</v>
      </c>
      <c r="J37" s="2" t="s">
        <v>16</v>
      </c>
      <c r="P37" t="str">
        <v>EMP036</v>
      </c>
      <c r="Q37">
        <f>COUNTIFS(Attendance!$B$2:$B$1201, P37, Attendance!$E$2:$E$1201, "Present")</f>
        <v>27</v>
      </c>
      <c r="R37">
        <f>COUNTIFS(Attendance!$B$2:$B$1201, P37, Attendance!$E$2:$E$1201, "Absent")</f>
        <v>2</v>
      </c>
      <c r="S37">
        <f>COUNTIFS(Attendance!$B$2:$B$1201, P37, Attendance!$E$2:$E$1201, "Leave")</f>
        <v>1</v>
      </c>
      <c r="T37">
        <f>COUNTIFS(Attendance!$B$2:$B$1201, P37, Attendance!$E$2:$E$1201, "Half Day")</f>
        <v>0</v>
      </c>
      <c r="U37">
        <f t="shared" si="0"/>
        <v>90</v>
      </c>
    </row>
    <row r="38" spans="1:21" ht="25" customHeight="1">
      <c r="A38" s="2" t="s">
        <v>163</v>
      </c>
      <c r="B38" s="2" t="s">
        <v>164</v>
      </c>
      <c r="C38" s="2" t="s">
        <v>12</v>
      </c>
      <c r="D38" s="2" t="s">
        <v>25</v>
      </c>
      <c r="E38" s="2" t="s">
        <v>46</v>
      </c>
      <c r="F38" s="8">
        <v>44448</v>
      </c>
      <c r="G38" s="4" t="s">
        <v>165</v>
      </c>
      <c r="H38" s="2">
        <v>9876543246</v>
      </c>
      <c r="I38" s="2">
        <v>34000</v>
      </c>
      <c r="J38" s="2" t="s">
        <v>16</v>
      </c>
      <c r="P38" t="str">
        <v>EMP037</v>
      </c>
      <c r="Q38">
        <f>COUNTIFS(Attendance!$B$2:$B$1201, P38, Attendance!$E$2:$E$1201, "Present")</f>
        <v>22</v>
      </c>
      <c r="R38">
        <f>COUNTIFS(Attendance!$B$2:$B$1201, P38, Attendance!$E$2:$E$1201, "Absent")</f>
        <v>7</v>
      </c>
      <c r="S38">
        <f>COUNTIFS(Attendance!$B$2:$B$1201, P38, Attendance!$E$2:$E$1201, "Leave")</f>
        <v>1</v>
      </c>
      <c r="T38">
        <f>COUNTIFS(Attendance!$B$2:$B$1201, P38, Attendance!$E$2:$E$1201, "Half Day")</f>
        <v>0</v>
      </c>
      <c r="U38">
        <f t="shared" si="0"/>
        <v>73.3</v>
      </c>
    </row>
    <row r="39" spans="1:21" ht="25" customHeight="1">
      <c r="A39" s="2" t="s">
        <v>166</v>
      </c>
      <c r="B39" s="2" t="s">
        <v>167</v>
      </c>
      <c r="C39" s="2" t="s">
        <v>19</v>
      </c>
      <c r="D39" s="2" t="s">
        <v>31</v>
      </c>
      <c r="E39" s="2" t="s">
        <v>51</v>
      </c>
      <c r="F39" s="8" t="s">
        <v>168</v>
      </c>
      <c r="G39" s="4" t="s">
        <v>169</v>
      </c>
      <c r="H39" s="2">
        <v>9876543247</v>
      </c>
      <c r="I39" s="2">
        <v>61000</v>
      </c>
      <c r="J39" s="2" t="s">
        <v>16</v>
      </c>
      <c r="P39" t="str">
        <v>EMP038</v>
      </c>
      <c r="Q39">
        <f>COUNTIFS(Attendance!$B$2:$B$1201, P39, Attendance!$E$2:$E$1201, "Present")</f>
        <v>22</v>
      </c>
      <c r="R39">
        <f>COUNTIFS(Attendance!$B$2:$B$1201, P39, Attendance!$E$2:$E$1201, "Absent")</f>
        <v>7</v>
      </c>
      <c r="S39">
        <f>COUNTIFS(Attendance!$B$2:$B$1201, P39, Attendance!$E$2:$E$1201, "Leave")</f>
        <v>1</v>
      </c>
      <c r="T39">
        <f>COUNTIFS(Attendance!$B$2:$B$1201, P39, Attendance!$E$2:$E$1201, "Half Day")</f>
        <v>0</v>
      </c>
      <c r="U39">
        <f t="shared" si="0"/>
        <v>73.3</v>
      </c>
    </row>
    <row r="40" spans="1:21" ht="25" customHeight="1">
      <c r="A40" s="2" t="s">
        <v>170</v>
      </c>
      <c r="B40" s="2" t="s">
        <v>171</v>
      </c>
      <c r="C40" s="2" t="s">
        <v>12</v>
      </c>
      <c r="D40" s="2" t="s">
        <v>20</v>
      </c>
      <c r="E40" s="2" t="s">
        <v>21</v>
      </c>
      <c r="F40" s="8" t="s">
        <v>172</v>
      </c>
      <c r="G40" s="4" t="s">
        <v>173</v>
      </c>
      <c r="H40" s="2">
        <v>9876543248</v>
      </c>
      <c r="I40" s="2">
        <v>35000</v>
      </c>
      <c r="J40" s="2" t="s">
        <v>16</v>
      </c>
      <c r="P40" t="str">
        <v>EMP039</v>
      </c>
      <c r="Q40">
        <f>COUNTIFS(Attendance!$B$2:$B$1201, P40, Attendance!$E$2:$E$1201, "Present")</f>
        <v>26</v>
      </c>
      <c r="R40">
        <f>COUNTIFS(Attendance!$B$2:$B$1201, P40, Attendance!$E$2:$E$1201, "Absent")</f>
        <v>3</v>
      </c>
      <c r="S40">
        <f>COUNTIFS(Attendance!$B$2:$B$1201, P40, Attendance!$E$2:$E$1201, "Leave")</f>
        <v>1</v>
      </c>
      <c r="T40">
        <f>COUNTIFS(Attendance!$B$2:$B$1201, P40, Attendance!$E$2:$E$1201, "Half Day")</f>
        <v>0</v>
      </c>
      <c r="U40">
        <f t="shared" si="0"/>
        <v>86.7</v>
      </c>
    </row>
    <row r="41" spans="1:21" ht="25" customHeight="1">
      <c r="A41" s="2" t="s">
        <v>174</v>
      </c>
      <c r="B41" s="2" t="s">
        <v>175</v>
      </c>
      <c r="C41" s="2" t="s">
        <v>19</v>
      </c>
      <c r="D41" s="2" t="s">
        <v>37</v>
      </c>
      <c r="E41" s="2" t="s">
        <v>38</v>
      </c>
      <c r="F41" s="8" t="s">
        <v>176</v>
      </c>
      <c r="G41" s="4" t="s">
        <v>177</v>
      </c>
      <c r="P41" t="str">
        <v>EMP040</v>
      </c>
      <c r="Q41">
        <f>COUNTIFS(Attendance!$B$2:$B$1201, P41, Attendance!$E$2:$E$1201, "Present")</f>
        <v>25</v>
      </c>
      <c r="R41">
        <f>COUNTIFS(Attendance!$B$2:$B$1201, P41, Attendance!$E$2:$E$1201, "Absent")</f>
        <v>2</v>
      </c>
      <c r="S41">
        <f>COUNTIFS(Attendance!$B$2:$B$1201, P41, Attendance!$E$2:$E$1201, "Leave")</f>
        <v>3</v>
      </c>
      <c r="T41">
        <f>COUNTIFS(Attendance!$B$2:$B$1201, P41, Attendance!$E$2:$E$1201, "Half Day")</f>
        <v>0</v>
      </c>
      <c r="U41">
        <f t="shared" si="0"/>
        <v>83.3</v>
      </c>
    </row>
  </sheetData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C1:C1048576" xr:uid="{6B06EE4A-C23E-4277-A1E6-CE1C7FD27A6E}">
      <formula1>"Male,Female"</formula1>
    </dataValidation>
    <dataValidation type="list" allowBlank="1" showInputMessage="1" showErrorMessage="1" sqref="D1:D1048576" xr:uid="{60820893-A1DD-4F81-AACF-19C7A54A9815}">
      <formula1>"HR,Sales,IT,Finance,Operations"</formula1>
    </dataValidation>
    <dataValidation type="list" allowBlank="1" showInputMessage="1" showErrorMessage="1" sqref="J1:J41" xr:uid="{295ACCDC-B562-402C-A3BA-ACC72CDA3528}">
      <formula1>"Active,Resigned,Terminated,On Leave"</formula1>
    </dataValidation>
  </dataValidations>
  <hyperlinks>
    <hyperlink ref="G2" r:id="rId1" display="mailto:rohan.mehta@coffeecore.com" xr:uid="{08F695AD-6821-4891-ACCC-771F9168F5D5}"/>
    <hyperlink ref="G3" r:id="rId2" display="mailto:priya.sharma@coffeecore.com" xr:uid="{7FD3A86A-FE03-4E4D-92B8-DACCF923C0E3}"/>
    <hyperlink ref="G4" r:id="rId3" display="mailto:aman.gupta@coffeecore.com" xr:uid="{8BDF5252-ADB4-4F43-BCAE-605BE171D387}"/>
    <hyperlink ref="G5" r:id="rId4" display="mailto:sneha.verma@coffeecore.com" xr:uid="{E666CCF0-ECAE-475C-A9AE-C1C898D21603}"/>
    <hyperlink ref="G6" r:id="rId5" display="mailto:vikram.singh@coffeecore.com" xr:uid="{CED8960E-1049-4CDA-AA9A-21F01DE802A5}"/>
    <hyperlink ref="G7" r:id="rId6" display="mailto:anjali.nair@coffeecore.com" xr:uid="{DCAE3697-AEA6-4753-868F-559DC0744873}"/>
    <hyperlink ref="G8" r:id="rId7" display="mailto:karan.malhotra@coffeecore.com" xr:uid="{9A9589BD-F5DC-4DAB-87E7-30D4431C5AA4}"/>
    <hyperlink ref="G9" r:id="rId8" display="mailto:pooja.iyer@coffeecore.com" xr:uid="{ED8950BB-6825-42C4-87A2-BFE690C1271D}"/>
    <hyperlink ref="G10" r:id="rId9" display="mailto:rahul.kapoor@coffeecore.com" xr:uid="{067B373A-57C1-4AF0-A917-8DF3629B6843}"/>
    <hyperlink ref="G11" r:id="rId10" display="mailto:neha.reddy@coffeecore.com" xr:uid="{FE178263-9F50-421B-B278-1ED94365EB4D}"/>
    <hyperlink ref="G12" r:id="rId11" display="mailto:arjun.desai@coffeecore.com" xr:uid="{97DB3CE3-EBEC-470B-AD3B-2B493EFD1B3E}"/>
    <hyperlink ref="G13" r:id="rId12" display="mailto:divya.pillai@coffeecore.com" xr:uid="{44BF7683-C812-441C-9E2F-D2368808EFF0}"/>
    <hyperlink ref="G14" r:id="rId13" display="mailto:manish.joshi@coffeecore.com" xr:uid="{082FA25F-15DC-4295-9D1E-1560EF25102E}"/>
    <hyperlink ref="G15" r:id="rId14" display="mailto:ritu.choudhary@coffeecore.com" xr:uid="{277A5874-68B7-4EC8-A6BA-326D009A1ED8}"/>
    <hyperlink ref="G16" r:id="rId15" display="mailto:saurabh.tiwari@coffeecore.com" xr:uid="{EB7AC64E-BC8B-4487-8973-0F05D9FFF4ED}"/>
    <hyperlink ref="G17" r:id="rId16" display="mailto:kavita.bhatt@coffeecore.com" xr:uid="{F0709F4D-2ED9-4B6E-A66E-185AA839141D}"/>
    <hyperlink ref="G18" r:id="rId17" display="mailto:deepak.rana@coffeecore.com" xr:uid="{BB945CD4-623E-4618-96B6-6CA02DB5312C}"/>
    <hyperlink ref="G19" r:id="rId18" display="mailto:shruti.agarwal@coffeecore.com" xr:uid="{D39BAD79-F087-4DB7-A0CE-5E9E601F2C8D}"/>
    <hyperlink ref="G20" r:id="rId19" display="mailto:nikhil.bose@coffeecore.com" xr:uid="{B5F36B36-EFE6-4956-A9E2-ADB4EE12235E}"/>
    <hyperlink ref="G21" r:id="rId20" display="mailto:meera.krishnan@coffeecore.com" xr:uid="{B9F5DBE2-9DD6-4438-85E6-A1880BFC58B8}"/>
    <hyperlink ref="G22" r:id="rId21" display="mailto:suresh.yadav@coffeecore.com" xr:uid="{4BD8D688-EA62-496D-A610-3CB28B87240C}"/>
    <hyperlink ref="G23" r:id="rId22" display="mailto:tanvi.shetty@coffeecore.com" xr:uid="{BED99A89-E852-409C-82C6-2DFEBD5FA9DF}"/>
    <hyperlink ref="G24" r:id="rId23" display="mailto:akash.pandey@coffeecore.com" xr:uid="{8BF0B816-02D5-46CD-BEFA-5C7F646F03FC}"/>
    <hyperlink ref="G25" r:id="rId24" display="mailto:swati.mishra@coffeecore.com" xr:uid="{81F1BF99-74F4-4881-8C32-F6383EC5A4C4}"/>
    <hyperlink ref="G26" r:id="rId25" display="mailto:gaurav.saxena@coffeecore.com" xr:uid="{6ADF8F05-94F2-4C05-AE49-98494512A19B}"/>
    <hyperlink ref="G27" r:id="rId26" display="mailto:isha.kulkarni@coffeecore.com" xr:uid="{17111545-4F0F-4A05-9E02-A8A1E023165F}"/>
    <hyperlink ref="G28" r:id="rId27" display="mailto:vivek.chauhan@coffeecore.com" xr:uid="{29EDEAE3-378F-48FB-94AC-C23B70CAD91A}"/>
    <hyperlink ref="G29" r:id="rId28" display="mailto:anushka.menon@coffeecore.com" xr:uid="{D372AB94-6120-463A-85DE-0B6E2F42A629}"/>
    <hyperlink ref="G30" r:id="rId29" display="mailto:harsh.vardhan@coffeecore.com" xr:uid="{B1B68913-EA21-4725-874C-42E2B3E0AE21}"/>
    <hyperlink ref="G31" r:id="rId30" display="mailto:pallavi.rao@coffeecore.com" xr:uid="{B389E629-1F66-4D64-BEC4-D19C9CE7D9D6}"/>
    <hyperlink ref="G32" r:id="rId31" display="mailto:sandeep.kumar@coffeecore.com" xr:uid="{55964C85-4FF9-405F-BCE9-BE319A4DDD2B}"/>
    <hyperlink ref="G33" r:id="rId32" display="mailto:aditi.bansal@coffeecore.com" xr:uid="{372FD1FF-060B-4B6D-B256-3D6F4B4139B6}"/>
    <hyperlink ref="G34" r:id="rId33" display="mailto:rajesh.khanna@coffeecore.com" xr:uid="{4D895769-ED01-48CD-BB95-82C52846BAD9}"/>
    <hyperlink ref="G35" r:id="rId34" display="mailto:komal.thakur@coffeecore.com" xr:uid="{4413BBFD-C1E0-461F-973E-1EEF8CB092BF}"/>
    <hyperlink ref="G36" r:id="rId35" display="mailto:yash.chopra@coffeecore.com" xr:uid="{21D7964E-34F0-4322-8F59-41B8AB49F6E7}"/>
    <hyperlink ref="G37" r:id="rId36" display="mailto:riya.dutta@coffeecore.com" xr:uid="{9695ED10-3686-4D09-B5C0-17769A1C2DDF}"/>
    <hyperlink ref="G38" r:id="rId37" display="mailto:mohit.sinha@coffeecore.com" xr:uid="{39350FBA-04EF-4829-869A-21EA5EA4679A}"/>
    <hyperlink ref="G39" r:id="rId38" display="mailto:preeti.joshi@coffeecore.com" xr:uid="{352F11F5-655A-40E2-AA0B-BED6B8882A3F}"/>
    <hyperlink ref="G40" r:id="rId39" display="mailto:abhishek.roy@coffeecore.com" xr:uid="{A0836878-BB1D-47BC-B09C-D1BE392DC3C0}"/>
    <hyperlink ref="G41" r:id="rId40" display="mailto:sunita.bhatia@coffeecore.com" xr:uid="{65E2A56B-B85A-4363-BC2B-BBF49B414F55}"/>
  </hyperlinks>
  <pageMargins left="0.7" right="0.7" top="0.75" bottom="0.75" header="0.3" footer="0.3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9D63-B75F-4532-B7EC-9E29F22E8B66}">
  <dimension ref="A1:E1201"/>
  <sheetViews>
    <sheetView workbookViewId="0">
      <selection activeCell="E6" sqref="E6"/>
    </sheetView>
  </sheetViews>
  <sheetFormatPr defaultRowHeight="14.5"/>
  <cols>
    <col min="1" max="1" width="9.08984375" bestFit="1" customWidth="1"/>
    <col min="2" max="2" width="14.26953125" bestFit="1" customWidth="1"/>
    <col min="3" max="3" width="18.26953125" bestFit="1" customWidth="1"/>
    <col min="4" max="4" width="13.81640625" bestFit="1" customWidth="1"/>
    <col min="5" max="5" width="20.6328125" bestFit="1" customWidth="1"/>
  </cols>
  <sheetData>
    <row r="1" spans="1:5" s="12" customFormat="1" ht="18.5">
      <c r="A1" s="12" t="s">
        <v>181</v>
      </c>
      <c r="B1" s="12" t="s">
        <v>0</v>
      </c>
      <c r="C1" s="12" t="s">
        <v>182</v>
      </c>
      <c r="D1" s="12" t="s">
        <v>3</v>
      </c>
      <c r="E1" s="12" t="s">
        <v>183</v>
      </c>
    </row>
    <row r="2" spans="1:5">
      <c r="A2" s="3">
        <v>46174</v>
      </c>
      <c r="B2" t="s">
        <v>10</v>
      </c>
      <c r="C2" t="s">
        <v>11</v>
      </c>
      <c r="D2" t="s">
        <v>13</v>
      </c>
      <c r="E2" t="s">
        <v>184</v>
      </c>
    </row>
    <row r="3" spans="1:5">
      <c r="A3" s="3">
        <v>46174</v>
      </c>
      <c r="B3" t="s">
        <v>17</v>
      </c>
      <c r="C3" t="s">
        <v>18</v>
      </c>
      <c r="D3" t="s">
        <v>20</v>
      </c>
      <c r="E3" t="s">
        <v>184</v>
      </c>
    </row>
    <row r="4" spans="1:5">
      <c r="A4" s="3">
        <v>46174</v>
      </c>
      <c r="B4" t="s">
        <v>23</v>
      </c>
      <c r="C4" t="s">
        <v>24</v>
      </c>
      <c r="D4" t="s">
        <v>25</v>
      </c>
      <c r="E4" t="s">
        <v>184</v>
      </c>
    </row>
    <row r="5" spans="1:5">
      <c r="A5" s="3">
        <v>46174</v>
      </c>
      <c r="B5" t="s">
        <v>29</v>
      </c>
      <c r="C5" t="s">
        <v>30</v>
      </c>
      <c r="D5" t="s">
        <v>31</v>
      </c>
      <c r="E5" t="s">
        <v>184</v>
      </c>
    </row>
    <row r="6" spans="1:5">
      <c r="A6" s="3">
        <v>46174</v>
      </c>
      <c r="B6" t="s">
        <v>35</v>
      </c>
      <c r="C6" t="s">
        <v>36</v>
      </c>
      <c r="D6" t="s">
        <v>37</v>
      </c>
      <c r="E6" t="s">
        <v>184</v>
      </c>
    </row>
    <row r="7" spans="1:5">
      <c r="A7" s="3">
        <v>46174</v>
      </c>
      <c r="B7" t="s">
        <v>40</v>
      </c>
      <c r="C7" t="s">
        <v>41</v>
      </c>
      <c r="D7" t="s">
        <v>13</v>
      </c>
      <c r="E7" t="s">
        <v>184</v>
      </c>
    </row>
    <row r="8" spans="1:5">
      <c r="A8" s="3">
        <v>46174</v>
      </c>
      <c r="B8" t="s">
        <v>44</v>
      </c>
      <c r="C8" t="s">
        <v>45</v>
      </c>
      <c r="D8" t="s">
        <v>25</v>
      </c>
      <c r="E8" t="s">
        <v>184</v>
      </c>
    </row>
    <row r="9" spans="1:5">
      <c r="A9" s="3">
        <v>46174</v>
      </c>
      <c r="B9" t="s">
        <v>49</v>
      </c>
      <c r="C9" t="s">
        <v>50</v>
      </c>
      <c r="D9" t="s">
        <v>31</v>
      </c>
      <c r="E9" t="s">
        <v>185</v>
      </c>
    </row>
    <row r="10" spans="1:5">
      <c r="A10" s="3">
        <v>46174</v>
      </c>
      <c r="B10" t="s">
        <v>54</v>
      </c>
      <c r="C10" t="s">
        <v>55</v>
      </c>
      <c r="D10" t="s">
        <v>20</v>
      </c>
      <c r="E10" t="s">
        <v>184</v>
      </c>
    </row>
    <row r="11" spans="1:5">
      <c r="A11" s="3">
        <v>46174</v>
      </c>
      <c r="B11" t="s">
        <v>58</v>
      </c>
      <c r="C11" t="s">
        <v>59</v>
      </c>
      <c r="D11" t="s">
        <v>37</v>
      </c>
      <c r="E11" t="s">
        <v>184</v>
      </c>
    </row>
    <row r="12" spans="1:5">
      <c r="A12" s="3">
        <v>46174</v>
      </c>
      <c r="B12" t="s">
        <v>63</v>
      </c>
      <c r="C12" t="s">
        <v>64</v>
      </c>
      <c r="D12" t="s">
        <v>13</v>
      </c>
      <c r="E12" t="s">
        <v>185</v>
      </c>
    </row>
    <row r="13" spans="1:5">
      <c r="A13" s="3">
        <v>46174</v>
      </c>
      <c r="B13" t="s">
        <v>67</v>
      </c>
      <c r="C13" t="s">
        <v>68</v>
      </c>
      <c r="D13" t="s">
        <v>25</v>
      </c>
      <c r="E13" t="s">
        <v>186</v>
      </c>
    </row>
    <row r="14" spans="1:5">
      <c r="A14" s="3">
        <v>46174</v>
      </c>
      <c r="B14" t="s">
        <v>71</v>
      </c>
      <c r="C14" t="s">
        <v>72</v>
      </c>
      <c r="D14" t="s">
        <v>31</v>
      </c>
      <c r="E14" t="s">
        <v>184</v>
      </c>
    </row>
    <row r="15" spans="1:5">
      <c r="A15" s="3">
        <v>46174</v>
      </c>
      <c r="B15" t="s">
        <v>75</v>
      </c>
      <c r="C15" t="s">
        <v>76</v>
      </c>
      <c r="D15" t="s">
        <v>20</v>
      </c>
      <c r="E15" t="s">
        <v>184</v>
      </c>
    </row>
    <row r="16" spans="1:5">
      <c r="A16" s="3">
        <v>46174</v>
      </c>
      <c r="B16" t="s">
        <v>79</v>
      </c>
      <c r="C16" t="s">
        <v>80</v>
      </c>
      <c r="D16" t="s">
        <v>37</v>
      </c>
      <c r="E16" t="s">
        <v>184</v>
      </c>
    </row>
    <row r="17" spans="1:5">
      <c r="A17" s="3">
        <v>46174</v>
      </c>
      <c r="B17" t="s">
        <v>82</v>
      </c>
      <c r="C17" t="s">
        <v>83</v>
      </c>
      <c r="D17" t="s">
        <v>13</v>
      </c>
      <c r="E17" t="s">
        <v>184</v>
      </c>
    </row>
    <row r="18" spans="1:5">
      <c r="A18" s="3">
        <v>46174</v>
      </c>
      <c r="B18" t="s">
        <v>87</v>
      </c>
      <c r="C18" t="s">
        <v>88</v>
      </c>
      <c r="D18" t="s">
        <v>25</v>
      </c>
      <c r="E18" t="s">
        <v>184</v>
      </c>
    </row>
    <row r="19" spans="1:5">
      <c r="A19" s="3">
        <v>46174</v>
      </c>
      <c r="B19" t="s">
        <v>91</v>
      </c>
      <c r="C19" t="s">
        <v>92</v>
      </c>
      <c r="D19" t="s">
        <v>31</v>
      </c>
      <c r="E19" t="s">
        <v>184</v>
      </c>
    </row>
    <row r="20" spans="1:5">
      <c r="A20" s="3">
        <v>46174</v>
      </c>
      <c r="B20" t="s">
        <v>95</v>
      </c>
      <c r="C20" t="s">
        <v>96</v>
      </c>
      <c r="D20" t="s">
        <v>20</v>
      </c>
      <c r="E20" t="s">
        <v>184</v>
      </c>
    </row>
    <row r="21" spans="1:5">
      <c r="A21" s="3">
        <v>46174</v>
      </c>
      <c r="B21" t="s">
        <v>100</v>
      </c>
      <c r="C21" t="s">
        <v>101</v>
      </c>
      <c r="D21" t="s">
        <v>37</v>
      </c>
      <c r="E21" t="s">
        <v>184</v>
      </c>
    </row>
    <row r="22" spans="1:5">
      <c r="A22" s="3">
        <v>46174</v>
      </c>
      <c r="B22" t="s">
        <v>104</v>
      </c>
      <c r="C22" t="s">
        <v>105</v>
      </c>
      <c r="D22" t="s">
        <v>13</v>
      </c>
      <c r="E22" t="s">
        <v>184</v>
      </c>
    </row>
    <row r="23" spans="1:5">
      <c r="A23" s="3">
        <v>46174</v>
      </c>
      <c r="B23" t="s">
        <v>109</v>
      </c>
      <c r="C23" t="s">
        <v>110</v>
      </c>
      <c r="D23" t="s">
        <v>25</v>
      </c>
      <c r="E23" t="s">
        <v>184</v>
      </c>
    </row>
    <row r="24" spans="1:5">
      <c r="A24" s="3">
        <v>46174</v>
      </c>
      <c r="B24" t="s">
        <v>114</v>
      </c>
      <c r="C24" t="s">
        <v>115</v>
      </c>
      <c r="D24" t="s">
        <v>31</v>
      </c>
      <c r="E24" t="s">
        <v>184</v>
      </c>
    </row>
    <row r="25" spans="1:5">
      <c r="A25" s="3">
        <v>46174</v>
      </c>
      <c r="B25" t="s">
        <v>117</v>
      </c>
      <c r="C25" t="s">
        <v>118</v>
      </c>
      <c r="D25" t="s">
        <v>20</v>
      </c>
      <c r="E25" t="s">
        <v>184</v>
      </c>
    </row>
    <row r="26" spans="1:5">
      <c r="A26" s="3">
        <v>46174</v>
      </c>
      <c r="B26" t="s">
        <v>121</v>
      </c>
      <c r="C26" t="s">
        <v>122</v>
      </c>
      <c r="D26" t="s">
        <v>37</v>
      </c>
      <c r="E26" t="s">
        <v>184</v>
      </c>
    </row>
    <row r="27" spans="1:5">
      <c r="A27" s="3">
        <v>46174</v>
      </c>
      <c r="B27" t="s">
        <v>125</v>
      </c>
      <c r="C27" t="s">
        <v>126</v>
      </c>
      <c r="D27" t="s">
        <v>13</v>
      </c>
      <c r="E27" t="s">
        <v>184</v>
      </c>
    </row>
    <row r="28" spans="1:5">
      <c r="A28" s="3">
        <v>46174</v>
      </c>
      <c r="B28" t="s">
        <v>128</v>
      </c>
      <c r="C28" t="s">
        <v>129</v>
      </c>
      <c r="D28" t="s">
        <v>25</v>
      </c>
      <c r="E28" t="s">
        <v>184</v>
      </c>
    </row>
    <row r="29" spans="1:5">
      <c r="A29" s="3">
        <v>46174</v>
      </c>
      <c r="B29" t="s">
        <v>131</v>
      </c>
      <c r="C29" t="s">
        <v>132</v>
      </c>
      <c r="D29" t="s">
        <v>31</v>
      </c>
      <c r="E29" t="s">
        <v>184</v>
      </c>
    </row>
    <row r="30" spans="1:5">
      <c r="A30" s="3">
        <v>46174</v>
      </c>
      <c r="B30" t="s">
        <v>135</v>
      </c>
      <c r="C30" t="s">
        <v>136</v>
      </c>
      <c r="D30" t="s">
        <v>20</v>
      </c>
      <c r="E30" t="s">
        <v>184</v>
      </c>
    </row>
    <row r="31" spans="1:5">
      <c r="A31" s="3">
        <v>46174</v>
      </c>
      <c r="B31" t="s">
        <v>138</v>
      </c>
      <c r="C31" t="s">
        <v>139</v>
      </c>
      <c r="D31" t="s">
        <v>37</v>
      </c>
      <c r="E31" t="s">
        <v>185</v>
      </c>
    </row>
    <row r="32" spans="1:5">
      <c r="A32" s="3">
        <v>46174</v>
      </c>
      <c r="B32" t="s">
        <v>142</v>
      </c>
      <c r="C32" t="s">
        <v>143</v>
      </c>
      <c r="D32" t="s">
        <v>13</v>
      </c>
      <c r="E32" t="s">
        <v>185</v>
      </c>
    </row>
    <row r="33" spans="1:5">
      <c r="A33" s="3">
        <v>46174</v>
      </c>
      <c r="B33" t="s">
        <v>146</v>
      </c>
      <c r="C33" t="s">
        <v>147</v>
      </c>
      <c r="D33" t="s">
        <v>25</v>
      </c>
      <c r="E33" t="s">
        <v>184</v>
      </c>
    </row>
    <row r="34" spans="1:5">
      <c r="A34" s="3">
        <v>46174</v>
      </c>
      <c r="B34" t="s">
        <v>149</v>
      </c>
      <c r="C34" t="s">
        <v>150</v>
      </c>
      <c r="D34" t="s">
        <v>31</v>
      </c>
      <c r="E34" t="s">
        <v>184</v>
      </c>
    </row>
    <row r="35" spans="1:5">
      <c r="A35" s="3">
        <v>46174</v>
      </c>
      <c r="B35" t="s">
        <v>152</v>
      </c>
      <c r="C35" t="s">
        <v>153</v>
      </c>
      <c r="D35" t="s">
        <v>20</v>
      </c>
      <c r="E35" t="s">
        <v>184</v>
      </c>
    </row>
    <row r="36" spans="1:5">
      <c r="A36" s="3">
        <v>46174</v>
      </c>
      <c r="B36" t="s">
        <v>156</v>
      </c>
      <c r="C36" t="s">
        <v>157</v>
      </c>
      <c r="D36" t="s">
        <v>37</v>
      </c>
      <c r="E36" t="s">
        <v>184</v>
      </c>
    </row>
    <row r="37" spans="1:5">
      <c r="A37" s="3">
        <v>46174</v>
      </c>
      <c r="B37" t="s">
        <v>160</v>
      </c>
      <c r="C37" t="s">
        <v>161</v>
      </c>
      <c r="D37" t="s">
        <v>13</v>
      </c>
      <c r="E37" t="s">
        <v>184</v>
      </c>
    </row>
    <row r="38" spans="1:5">
      <c r="A38" s="3">
        <v>46174</v>
      </c>
      <c r="B38" t="s">
        <v>163</v>
      </c>
      <c r="C38" t="s">
        <v>164</v>
      </c>
      <c r="D38" t="s">
        <v>25</v>
      </c>
      <c r="E38" t="s">
        <v>184</v>
      </c>
    </row>
    <row r="39" spans="1:5">
      <c r="A39" s="3">
        <v>46174</v>
      </c>
      <c r="B39" t="s">
        <v>166</v>
      </c>
      <c r="C39" t="s">
        <v>167</v>
      </c>
      <c r="D39" t="s">
        <v>31</v>
      </c>
      <c r="E39" t="s">
        <v>184</v>
      </c>
    </row>
    <row r="40" spans="1:5">
      <c r="A40" s="3">
        <v>46174</v>
      </c>
      <c r="B40" t="s">
        <v>170</v>
      </c>
      <c r="C40" t="s">
        <v>171</v>
      </c>
      <c r="D40" t="s">
        <v>20</v>
      </c>
      <c r="E40" t="s">
        <v>184</v>
      </c>
    </row>
    <row r="41" spans="1:5">
      <c r="A41" s="3">
        <v>46174</v>
      </c>
      <c r="B41" t="s">
        <v>174</v>
      </c>
      <c r="C41" t="s">
        <v>175</v>
      </c>
      <c r="D41" t="s">
        <v>37</v>
      </c>
      <c r="E41" t="s">
        <v>184</v>
      </c>
    </row>
    <row r="42" spans="1:5">
      <c r="A42" s="3">
        <v>46175</v>
      </c>
      <c r="B42" t="s">
        <v>10</v>
      </c>
      <c r="C42" t="s">
        <v>11</v>
      </c>
      <c r="D42" t="s">
        <v>13</v>
      </c>
      <c r="E42" t="s">
        <v>184</v>
      </c>
    </row>
    <row r="43" spans="1:5">
      <c r="A43" s="3">
        <v>46175</v>
      </c>
      <c r="B43" t="s">
        <v>17</v>
      </c>
      <c r="C43" t="s">
        <v>18</v>
      </c>
      <c r="D43" t="s">
        <v>20</v>
      </c>
      <c r="E43" t="s">
        <v>184</v>
      </c>
    </row>
    <row r="44" spans="1:5">
      <c r="A44" s="3">
        <v>46175</v>
      </c>
      <c r="B44" t="s">
        <v>23</v>
      </c>
      <c r="C44" t="s">
        <v>24</v>
      </c>
      <c r="D44" t="s">
        <v>25</v>
      </c>
      <c r="E44" t="s">
        <v>185</v>
      </c>
    </row>
    <row r="45" spans="1:5">
      <c r="A45" s="3">
        <v>46175</v>
      </c>
      <c r="B45" t="s">
        <v>29</v>
      </c>
      <c r="C45" t="s">
        <v>30</v>
      </c>
      <c r="D45" t="s">
        <v>31</v>
      </c>
      <c r="E45" t="s">
        <v>184</v>
      </c>
    </row>
    <row r="46" spans="1:5">
      <c r="A46" s="3">
        <v>46175</v>
      </c>
      <c r="B46" t="s">
        <v>35</v>
      </c>
      <c r="C46" t="s">
        <v>36</v>
      </c>
      <c r="D46" t="s">
        <v>37</v>
      </c>
      <c r="E46" t="s">
        <v>184</v>
      </c>
    </row>
    <row r="47" spans="1:5">
      <c r="A47" s="3">
        <v>46175</v>
      </c>
      <c r="B47" t="s">
        <v>40</v>
      </c>
      <c r="C47" t="s">
        <v>41</v>
      </c>
      <c r="D47" t="s">
        <v>13</v>
      </c>
      <c r="E47" t="s">
        <v>184</v>
      </c>
    </row>
    <row r="48" spans="1:5">
      <c r="A48" s="3">
        <v>46175</v>
      </c>
      <c r="B48" t="s">
        <v>44</v>
      </c>
      <c r="C48" t="s">
        <v>45</v>
      </c>
      <c r="D48" t="s">
        <v>25</v>
      </c>
      <c r="E48" t="s">
        <v>184</v>
      </c>
    </row>
    <row r="49" spans="1:5">
      <c r="A49" s="3">
        <v>46175</v>
      </c>
      <c r="B49" t="s">
        <v>49</v>
      </c>
      <c r="C49" t="s">
        <v>50</v>
      </c>
      <c r="D49" t="s">
        <v>31</v>
      </c>
      <c r="E49" t="s">
        <v>184</v>
      </c>
    </row>
    <row r="50" spans="1:5">
      <c r="A50" s="3">
        <v>46175</v>
      </c>
      <c r="B50" t="s">
        <v>54</v>
      </c>
      <c r="C50" t="s">
        <v>55</v>
      </c>
      <c r="D50" t="s">
        <v>20</v>
      </c>
      <c r="E50" t="s">
        <v>184</v>
      </c>
    </row>
    <row r="51" spans="1:5">
      <c r="A51" s="3">
        <v>46175</v>
      </c>
      <c r="B51" t="s">
        <v>58</v>
      </c>
      <c r="C51" t="s">
        <v>59</v>
      </c>
      <c r="D51" t="s">
        <v>37</v>
      </c>
      <c r="E51" t="s">
        <v>184</v>
      </c>
    </row>
    <row r="52" spans="1:5">
      <c r="A52" s="3">
        <v>46175</v>
      </c>
      <c r="B52" t="s">
        <v>63</v>
      </c>
      <c r="C52" t="s">
        <v>64</v>
      </c>
      <c r="D52" t="s">
        <v>13</v>
      </c>
      <c r="E52" t="s">
        <v>184</v>
      </c>
    </row>
    <row r="53" spans="1:5">
      <c r="A53" s="3">
        <v>46175</v>
      </c>
      <c r="B53" t="s">
        <v>67</v>
      </c>
      <c r="C53" t="s">
        <v>68</v>
      </c>
      <c r="D53" t="s">
        <v>25</v>
      </c>
      <c r="E53" t="s">
        <v>186</v>
      </c>
    </row>
    <row r="54" spans="1:5">
      <c r="A54" s="3">
        <v>46175</v>
      </c>
      <c r="B54" t="s">
        <v>71</v>
      </c>
      <c r="C54" t="s">
        <v>72</v>
      </c>
      <c r="D54" t="s">
        <v>31</v>
      </c>
      <c r="E54" t="s">
        <v>184</v>
      </c>
    </row>
    <row r="55" spans="1:5">
      <c r="A55" s="3">
        <v>46175</v>
      </c>
      <c r="B55" t="s">
        <v>75</v>
      </c>
      <c r="C55" t="s">
        <v>76</v>
      </c>
      <c r="D55" t="s">
        <v>20</v>
      </c>
      <c r="E55" t="s">
        <v>184</v>
      </c>
    </row>
    <row r="56" spans="1:5">
      <c r="A56" s="3">
        <v>46175</v>
      </c>
      <c r="B56" t="s">
        <v>79</v>
      </c>
      <c r="C56" t="s">
        <v>80</v>
      </c>
      <c r="D56" t="s">
        <v>37</v>
      </c>
      <c r="E56" t="s">
        <v>184</v>
      </c>
    </row>
    <row r="57" spans="1:5">
      <c r="A57" s="3">
        <v>46175</v>
      </c>
      <c r="B57" t="s">
        <v>82</v>
      </c>
      <c r="C57" t="s">
        <v>83</v>
      </c>
      <c r="D57" t="s">
        <v>13</v>
      </c>
      <c r="E57" t="s">
        <v>184</v>
      </c>
    </row>
    <row r="58" spans="1:5">
      <c r="A58" s="3">
        <v>46175</v>
      </c>
      <c r="B58" t="s">
        <v>87</v>
      </c>
      <c r="C58" t="s">
        <v>88</v>
      </c>
      <c r="D58" t="s">
        <v>25</v>
      </c>
      <c r="E58" t="s">
        <v>184</v>
      </c>
    </row>
    <row r="59" spans="1:5">
      <c r="A59" s="3">
        <v>46175</v>
      </c>
      <c r="B59" t="s">
        <v>91</v>
      </c>
      <c r="C59" t="s">
        <v>92</v>
      </c>
      <c r="D59" t="s">
        <v>31</v>
      </c>
      <c r="E59" t="s">
        <v>186</v>
      </c>
    </row>
    <row r="60" spans="1:5">
      <c r="A60" s="3">
        <v>46175</v>
      </c>
      <c r="B60" t="s">
        <v>95</v>
      </c>
      <c r="C60" t="s">
        <v>96</v>
      </c>
      <c r="D60" t="s">
        <v>20</v>
      </c>
      <c r="E60" t="s">
        <v>184</v>
      </c>
    </row>
    <row r="61" spans="1:5">
      <c r="A61" s="3">
        <v>46175</v>
      </c>
      <c r="B61" t="s">
        <v>100</v>
      </c>
      <c r="C61" t="s">
        <v>101</v>
      </c>
      <c r="D61" t="s">
        <v>37</v>
      </c>
      <c r="E61" t="s">
        <v>184</v>
      </c>
    </row>
    <row r="62" spans="1:5">
      <c r="A62" s="3">
        <v>46175</v>
      </c>
      <c r="B62" t="s">
        <v>104</v>
      </c>
      <c r="C62" t="s">
        <v>105</v>
      </c>
      <c r="D62" t="s">
        <v>13</v>
      </c>
      <c r="E62" t="s">
        <v>184</v>
      </c>
    </row>
    <row r="63" spans="1:5">
      <c r="A63" s="3">
        <v>46175</v>
      </c>
      <c r="B63" t="s">
        <v>109</v>
      </c>
      <c r="C63" t="s">
        <v>110</v>
      </c>
      <c r="D63" t="s">
        <v>25</v>
      </c>
      <c r="E63" t="s">
        <v>184</v>
      </c>
    </row>
    <row r="64" spans="1:5">
      <c r="A64" s="3">
        <v>46175</v>
      </c>
      <c r="B64" t="s">
        <v>114</v>
      </c>
      <c r="C64" t="s">
        <v>115</v>
      </c>
      <c r="D64" t="s">
        <v>31</v>
      </c>
      <c r="E64" t="s">
        <v>184</v>
      </c>
    </row>
    <row r="65" spans="1:5">
      <c r="A65" s="3">
        <v>46175</v>
      </c>
      <c r="B65" t="s">
        <v>117</v>
      </c>
      <c r="C65" t="s">
        <v>118</v>
      </c>
      <c r="D65" t="s">
        <v>20</v>
      </c>
      <c r="E65" t="s">
        <v>184</v>
      </c>
    </row>
    <row r="66" spans="1:5">
      <c r="A66" s="3">
        <v>46175</v>
      </c>
      <c r="B66" t="s">
        <v>121</v>
      </c>
      <c r="C66" t="s">
        <v>122</v>
      </c>
      <c r="D66" t="s">
        <v>37</v>
      </c>
      <c r="E66" t="s">
        <v>184</v>
      </c>
    </row>
    <row r="67" spans="1:5">
      <c r="A67" s="3">
        <v>46175</v>
      </c>
      <c r="B67" t="s">
        <v>125</v>
      </c>
      <c r="C67" t="s">
        <v>126</v>
      </c>
      <c r="D67" t="s">
        <v>13</v>
      </c>
      <c r="E67" t="s">
        <v>184</v>
      </c>
    </row>
    <row r="68" spans="1:5">
      <c r="A68" s="3">
        <v>46175</v>
      </c>
      <c r="B68" t="s">
        <v>128</v>
      </c>
      <c r="C68" t="s">
        <v>129</v>
      </c>
      <c r="D68" t="s">
        <v>25</v>
      </c>
      <c r="E68" t="s">
        <v>184</v>
      </c>
    </row>
    <row r="69" spans="1:5">
      <c r="A69" s="3">
        <v>46175</v>
      </c>
      <c r="B69" t="s">
        <v>131</v>
      </c>
      <c r="C69" t="s">
        <v>132</v>
      </c>
      <c r="D69" t="s">
        <v>31</v>
      </c>
      <c r="E69" t="s">
        <v>186</v>
      </c>
    </row>
    <row r="70" spans="1:5">
      <c r="A70" s="3">
        <v>46175</v>
      </c>
      <c r="B70" t="s">
        <v>135</v>
      </c>
      <c r="C70" t="s">
        <v>136</v>
      </c>
      <c r="D70" t="s">
        <v>20</v>
      </c>
      <c r="E70" t="s">
        <v>186</v>
      </c>
    </row>
    <row r="71" spans="1:5">
      <c r="A71" s="3">
        <v>46175</v>
      </c>
      <c r="B71" t="s">
        <v>138</v>
      </c>
      <c r="C71" t="s">
        <v>139</v>
      </c>
      <c r="D71" t="s">
        <v>37</v>
      </c>
      <c r="E71" t="s">
        <v>184</v>
      </c>
    </row>
    <row r="72" spans="1:5">
      <c r="A72" s="3">
        <v>46175</v>
      </c>
      <c r="B72" t="s">
        <v>142</v>
      </c>
      <c r="C72" t="s">
        <v>143</v>
      </c>
      <c r="D72" t="s">
        <v>13</v>
      </c>
      <c r="E72" t="s">
        <v>184</v>
      </c>
    </row>
    <row r="73" spans="1:5">
      <c r="A73" s="3">
        <v>46175</v>
      </c>
      <c r="B73" t="s">
        <v>146</v>
      </c>
      <c r="C73" t="s">
        <v>147</v>
      </c>
      <c r="D73" t="s">
        <v>25</v>
      </c>
      <c r="E73" t="s">
        <v>184</v>
      </c>
    </row>
    <row r="74" spans="1:5">
      <c r="A74" s="3">
        <v>46175</v>
      </c>
      <c r="B74" t="s">
        <v>149</v>
      </c>
      <c r="C74" t="s">
        <v>150</v>
      </c>
      <c r="D74" t="s">
        <v>31</v>
      </c>
      <c r="E74" t="s">
        <v>184</v>
      </c>
    </row>
    <row r="75" spans="1:5">
      <c r="A75" s="3">
        <v>46175</v>
      </c>
      <c r="B75" t="s">
        <v>152</v>
      </c>
      <c r="C75" t="s">
        <v>153</v>
      </c>
      <c r="D75" t="s">
        <v>20</v>
      </c>
      <c r="E75" t="s">
        <v>184</v>
      </c>
    </row>
    <row r="76" spans="1:5">
      <c r="A76" s="3">
        <v>46175</v>
      </c>
      <c r="B76" t="s">
        <v>156</v>
      </c>
      <c r="C76" t="s">
        <v>157</v>
      </c>
      <c r="D76" t="s">
        <v>37</v>
      </c>
      <c r="E76" t="s">
        <v>184</v>
      </c>
    </row>
    <row r="77" spans="1:5">
      <c r="A77" s="3">
        <v>46175</v>
      </c>
      <c r="B77" t="s">
        <v>160</v>
      </c>
      <c r="C77" t="s">
        <v>161</v>
      </c>
      <c r="D77" t="s">
        <v>13</v>
      </c>
      <c r="E77" t="s">
        <v>184</v>
      </c>
    </row>
    <row r="78" spans="1:5">
      <c r="A78" s="3">
        <v>46175</v>
      </c>
      <c r="B78" t="s">
        <v>163</v>
      </c>
      <c r="C78" t="s">
        <v>164</v>
      </c>
      <c r="D78" t="s">
        <v>25</v>
      </c>
      <c r="E78" t="s">
        <v>184</v>
      </c>
    </row>
    <row r="79" spans="1:5">
      <c r="A79" s="3">
        <v>46175</v>
      </c>
      <c r="B79" t="s">
        <v>166</v>
      </c>
      <c r="C79" t="s">
        <v>167</v>
      </c>
      <c r="D79" t="s">
        <v>31</v>
      </c>
      <c r="E79" t="s">
        <v>184</v>
      </c>
    </row>
    <row r="80" spans="1:5">
      <c r="A80" s="3">
        <v>46175</v>
      </c>
      <c r="B80" t="s">
        <v>170</v>
      </c>
      <c r="C80" t="s">
        <v>171</v>
      </c>
      <c r="D80" t="s">
        <v>20</v>
      </c>
      <c r="E80" t="s">
        <v>184</v>
      </c>
    </row>
    <row r="81" spans="1:5">
      <c r="A81" s="3">
        <v>46175</v>
      </c>
      <c r="B81" t="s">
        <v>174</v>
      </c>
      <c r="C81" t="s">
        <v>175</v>
      </c>
      <c r="D81" t="s">
        <v>37</v>
      </c>
      <c r="E81" t="s">
        <v>184</v>
      </c>
    </row>
    <row r="82" spans="1:5">
      <c r="A82" s="3">
        <v>46176</v>
      </c>
      <c r="B82" t="s">
        <v>10</v>
      </c>
      <c r="C82" t="s">
        <v>11</v>
      </c>
      <c r="D82" t="s">
        <v>13</v>
      </c>
      <c r="E82" t="s">
        <v>184</v>
      </c>
    </row>
    <row r="83" spans="1:5">
      <c r="A83" s="3">
        <v>46176</v>
      </c>
      <c r="B83" t="s">
        <v>17</v>
      </c>
      <c r="C83" t="s">
        <v>18</v>
      </c>
      <c r="D83" t="s">
        <v>20</v>
      </c>
      <c r="E83" t="s">
        <v>184</v>
      </c>
    </row>
    <row r="84" spans="1:5">
      <c r="A84" s="3">
        <v>46176</v>
      </c>
      <c r="B84" t="s">
        <v>23</v>
      </c>
      <c r="C84" t="s">
        <v>24</v>
      </c>
      <c r="D84" t="s">
        <v>25</v>
      </c>
      <c r="E84" t="s">
        <v>184</v>
      </c>
    </row>
    <row r="85" spans="1:5">
      <c r="A85" s="3">
        <v>46176</v>
      </c>
      <c r="B85" t="s">
        <v>29</v>
      </c>
      <c r="C85" t="s">
        <v>30</v>
      </c>
      <c r="D85" t="s">
        <v>31</v>
      </c>
      <c r="E85" t="s">
        <v>186</v>
      </c>
    </row>
    <row r="86" spans="1:5">
      <c r="A86" s="3">
        <v>46176</v>
      </c>
      <c r="B86" t="s">
        <v>35</v>
      </c>
      <c r="C86" t="s">
        <v>36</v>
      </c>
      <c r="D86" t="s">
        <v>37</v>
      </c>
      <c r="E86" t="s">
        <v>184</v>
      </c>
    </row>
    <row r="87" spans="1:5">
      <c r="A87" s="3">
        <v>46176</v>
      </c>
      <c r="B87" t="s">
        <v>40</v>
      </c>
      <c r="C87" t="s">
        <v>41</v>
      </c>
      <c r="D87" t="s">
        <v>13</v>
      </c>
      <c r="E87" t="s">
        <v>184</v>
      </c>
    </row>
    <row r="88" spans="1:5">
      <c r="A88" s="3">
        <v>46176</v>
      </c>
      <c r="B88" t="s">
        <v>44</v>
      </c>
      <c r="C88" t="s">
        <v>45</v>
      </c>
      <c r="D88" t="s">
        <v>25</v>
      </c>
      <c r="E88" t="s">
        <v>184</v>
      </c>
    </row>
    <row r="89" spans="1:5">
      <c r="A89" s="3">
        <v>46176</v>
      </c>
      <c r="B89" t="s">
        <v>49</v>
      </c>
      <c r="C89" t="s">
        <v>50</v>
      </c>
      <c r="D89" t="s">
        <v>31</v>
      </c>
      <c r="E89" t="s">
        <v>184</v>
      </c>
    </row>
    <row r="90" spans="1:5">
      <c r="A90" s="3">
        <v>46176</v>
      </c>
      <c r="B90" t="s">
        <v>54</v>
      </c>
      <c r="C90" t="s">
        <v>55</v>
      </c>
      <c r="D90" t="s">
        <v>20</v>
      </c>
      <c r="E90" t="s">
        <v>184</v>
      </c>
    </row>
    <row r="91" spans="1:5">
      <c r="A91" s="3">
        <v>46176</v>
      </c>
      <c r="B91" t="s">
        <v>58</v>
      </c>
      <c r="C91" t="s">
        <v>59</v>
      </c>
      <c r="D91" t="s">
        <v>37</v>
      </c>
      <c r="E91" t="s">
        <v>184</v>
      </c>
    </row>
    <row r="92" spans="1:5">
      <c r="A92" s="3">
        <v>46176</v>
      </c>
      <c r="B92" t="s">
        <v>63</v>
      </c>
      <c r="C92" t="s">
        <v>64</v>
      </c>
      <c r="D92" t="s">
        <v>13</v>
      </c>
      <c r="E92" t="s">
        <v>184</v>
      </c>
    </row>
    <row r="93" spans="1:5">
      <c r="A93" s="3">
        <v>46176</v>
      </c>
      <c r="B93" t="s">
        <v>67</v>
      </c>
      <c r="C93" t="s">
        <v>68</v>
      </c>
      <c r="D93" t="s">
        <v>25</v>
      </c>
      <c r="E93" t="s">
        <v>184</v>
      </c>
    </row>
    <row r="94" spans="1:5">
      <c r="A94" s="3">
        <v>46176</v>
      </c>
      <c r="B94" t="s">
        <v>71</v>
      </c>
      <c r="C94" t="s">
        <v>72</v>
      </c>
      <c r="D94" t="s">
        <v>31</v>
      </c>
      <c r="E94" t="s">
        <v>184</v>
      </c>
    </row>
    <row r="95" spans="1:5">
      <c r="A95" s="3">
        <v>46176</v>
      </c>
      <c r="B95" t="s">
        <v>75</v>
      </c>
      <c r="C95" t="s">
        <v>76</v>
      </c>
      <c r="D95" t="s">
        <v>20</v>
      </c>
      <c r="E95" t="s">
        <v>184</v>
      </c>
    </row>
    <row r="96" spans="1:5">
      <c r="A96" s="3">
        <v>46176</v>
      </c>
      <c r="B96" t="s">
        <v>79</v>
      </c>
      <c r="C96" t="s">
        <v>80</v>
      </c>
      <c r="D96" t="s">
        <v>37</v>
      </c>
      <c r="E96" t="s">
        <v>184</v>
      </c>
    </row>
    <row r="97" spans="1:5">
      <c r="A97" s="3">
        <v>46176</v>
      </c>
      <c r="B97" t="s">
        <v>82</v>
      </c>
      <c r="C97" t="s">
        <v>83</v>
      </c>
      <c r="D97" t="s">
        <v>13</v>
      </c>
      <c r="E97" t="s">
        <v>184</v>
      </c>
    </row>
    <row r="98" spans="1:5">
      <c r="A98" s="3">
        <v>46176</v>
      </c>
      <c r="B98" t="s">
        <v>87</v>
      </c>
      <c r="C98" t="s">
        <v>88</v>
      </c>
      <c r="D98" t="s">
        <v>25</v>
      </c>
      <c r="E98" t="s">
        <v>184</v>
      </c>
    </row>
    <row r="99" spans="1:5">
      <c r="A99" s="3">
        <v>46176</v>
      </c>
      <c r="B99" t="s">
        <v>91</v>
      </c>
      <c r="C99" t="s">
        <v>92</v>
      </c>
      <c r="D99" t="s">
        <v>31</v>
      </c>
      <c r="E99" t="s">
        <v>184</v>
      </c>
    </row>
    <row r="100" spans="1:5">
      <c r="A100" s="3">
        <v>46176</v>
      </c>
      <c r="B100" t="s">
        <v>95</v>
      </c>
      <c r="C100" t="s">
        <v>96</v>
      </c>
      <c r="D100" t="s">
        <v>20</v>
      </c>
      <c r="E100" t="s">
        <v>184</v>
      </c>
    </row>
    <row r="101" spans="1:5">
      <c r="A101" s="3">
        <v>46176</v>
      </c>
      <c r="B101" t="s">
        <v>100</v>
      </c>
      <c r="C101" t="s">
        <v>101</v>
      </c>
      <c r="D101" t="s">
        <v>37</v>
      </c>
      <c r="E101" t="s">
        <v>184</v>
      </c>
    </row>
    <row r="102" spans="1:5">
      <c r="A102" s="3">
        <v>46176</v>
      </c>
      <c r="B102" t="s">
        <v>104</v>
      </c>
      <c r="C102" t="s">
        <v>105</v>
      </c>
      <c r="D102" t="s">
        <v>13</v>
      </c>
      <c r="E102" t="s">
        <v>185</v>
      </c>
    </row>
    <row r="103" spans="1:5">
      <c r="A103" s="3">
        <v>46176</v>
      </c>
      <c r="B103" t="s">
        <v>109</v>
      </c>
      <c r="C103" t="s">
        <v>110</v>
      </c>
      <c r="D103" t="s">
        <v>25</v>
      </c>
      <c r="E103" t="s">
        <v>186</v>
      </c>
    </row>
    <row r="104" spans="1:5">
      <c r="A104" s="3">
        <v>46176</v>
      </c>
      <c r="B104" t="s">
        <v>114</v>
      </c>
      <c r="C104" t="s">
        <v>115</v>
      </c>
      <c r="D104" t="s">
        <v>31</v>
      </c>
      <c r="E104" t="s">
        <v>184</v>
      </c>
    </row>
    <row r="105" spans="1:5">
      <c r="A105" s="3">
        <v>46176</v>
      </c>
      <c r="B105" t="s">
        <v>117</v>
      </c>
      <c r="C105" t="s">
        <v>118</v>
      </c>
      <c r="D105" t="s">
        <v>20</v>
      </c>
      <c r="E105" t="s">
        <v>184</v>
      </c>
    </row>
    <row r="106" spans="1:5">
      <c r="A106" s="3">
        <v>46176</v>
      </c>
      <c r="B106" t="s">
        <v>121</v>
      </c>
      <c r="C106" t="s">
        <v>122</v>
      </c>
      <c r="D106" t="s">
        <v>37</v>
      </c>
      <c r="E106" t="s">
        <v>184</v>
      </c>
    </row>
    <row r="107" spans="1:5">
      <c r="A107" s="3">
        <v>46176</v>
      </c>
      <c r="B107" t="s">
        <v>125</v>
      </c>
      <c r="C107" t="s">
        <v>126</v>
      </c>
      <c r="D107" t="s">
        <v>13</v>
      </c>
      <c r="E107" t="s">
        <v>186</v>
      </c>
    </row>
    <row r="108" spans="1:5">
      <c r="A108" s="3">
        <v>46176</v>
      </c>
      <c r="B108" t="s">
        <v>128</v>
      </c>
      <c r="C108" t="s">
        <v>129</v>
      </c>
      <c r="D108" t="s">
        <v>25</v>
      </c>
      <c r="E108" t="s">
        <v>184</v>
      </c>
    </row>
    <row r="109" spans="1:5">
      <c r="A109" s="3">
        <v>46176</v>
      </c>
      <c r="B109" t="s">
        <v>131</v>
      </c>
      <c r="C109" t="s">
        <v>132</v>
      </c>
      <c r="D109" t="s">
        <v>31</v>
      </c>
      <c r="E109" t="s">
        <v>184</v>
      </c>
    </row>
    <row r="110" spans="1:5">
      <c r="A110" s="3">
        <v>46176</v>
      </c>
      <c r="B110" t="s">
        <v>135</v>
      </c>
      <c r="C110" t="s">
        <v>136</v>
      </c>
      <c r="D110" t="s">
        <v>20</v>
      </c>
      <c r="E110" t="s">
        <v>184</v>
      </c>
    </row>
    <row r="111" spans="1:5">
      <c r="A111" s="3">
        <v>46176</v>
      </c>
      <c r="B111" t="s">
        <v>138</v>
      </c>
      <c r="C111" t="s">
        <v>139</v>
      </c>
      <c r="D111" t="s">
        <v>37</v>
      </c>
      <c r="E111" t="s">
        <v>184</v>
      </c>
    </row>
    <row r="112" spans="1:5">
      <c r="A112" s="3">
        <v>46176</v>
      </c>
      <c r="B112" t="s">
        <v>142</v>
      </c>
      <c r="C112" t="s">
        <v>143</v>
      </c>
      <c r="D112" t="s">
        <v>13</v>
      </c>
      <c r="E112" t="s">
        <v>184</v>
      </c>
    </row>
    <row r="113" spans="1:5">
      <c r="A113" s="3">
        <v>46176</v>
      </c>
      <c r="B113" t="s">
        <v>146</v>
      </c>
      <c r="C113" t="s">
        <v>147</v>
      </c>
      <c r="D113" t="s">
        <v>25</v>
      </c>
      <c r="E113" t="s">
        <v>184</v>
      </c>
    </row>
    <row r="114" spans="1:5">
      <c r="A114" s="3">
        <v>46176</v>
      </c>
      <c r="B114" t="s">
        <v>149</v>
      </c>
      <c r="C114" t="s">
        <v>150</v>
      </c>
      <c r="D114" t="s">
        <v>31</v>
      </c>
      <c r="E114" t="s">
        <v>184</v>
      </c>
    </row>
    <row r="115" spans="1:5">
      <c r="A115" s="3">
        <v>46176</v>
      </c>
      <c r="B115" t="s">
        <v>152</v>
      </c>
      <c r="C115" t="s">
        <v>153</v>
      </c>
      <c r="D115" t="s">
        <v>20</v>
      </c>
      <c r="E115" t="s">
        <v>184</v>
      </c>
    </row>
    <row r="116" spans="1:5">
      <c r="A116" s="3">
        <v>46176</v>
      </c>
      <c r="B116" t="s">
        <v>156</v>
      </c>
      <c r="C116" t="s">
        <v>157</v>
      </c>
      <c r="D116" t="s">
        <v>37</v>
      </c>
      <c r="E116" t="s">
        <v>184</v>
      </c>
    </row>
    <row r="117" spans="1:5">
      <c r="A117" s="3">
        <v>46176</v>
      </c>
      <c r="B117" t="s">
        <v>160</v>
      </c>
      <c r="C117" t="s">
        <v>161</v>
      </c>
      <c r="D117" t="s">
        <v>13</v>
      </c>
      <c r="E117" t="s">
        <v>184</v>
      </c>
    </row>
    <row r="118" spans="1:5">
      <c r="A118" s="3">
        <v>46176</v>
      </c>
      <c r="B118" t="s">
        <v>163</v>
      </c>
      <c r="C118" t="s">
        <v>164</v>
      </c>
      <c r="D118" t="s">
        <v>25</v>
      </c>
      <c r="E118" t="s">
        <v>184</v>
      </c>
    </row>
    <row r="119" spans="1:5">
      <c r="A119" s="3">
        <v>46176</v>
      </c>
      <c r="B119" t="s">
        <v>166</v>
      </c>
      <c r="C119" t="s">
        <v>167</v>
      </c>
      <c r="D119" t="s">
        <v>31</v>
      </c>
      <c r="E119" t="s">
        <v>186</v>
      </c>
    </row>
    <row r="120" spans="1:5">
      <c r="A120" s="3">
        <v>46176</v>
      </c>
      <c r="B120" t="s">
        <v>170</v>
      </c>
      <c r="C120" t="s">
        <v>171</v>
      </c>
      <c r="D120" t="s">
        <v>20</v>
      </c>
      <c r="E120" t="s">
        <v>184</v>
      </c>
    </row>
    <row r="121" spans="1:5">
      <c r="A121" s="3">
        <v>46176</v>
      </c>
      <c r="B121" t="s">
        <v>174</v>
      </c>
      <c r="C121" t="s">
        <v>175</v>
      </c>
      <c r="D121" t="s">
        <v>37</v>
      </c>
      <c r="E121" t="s">
        <v>184</v>
      </c>
    </row>
    <row r="122" spans="1:5">
      <c r="A122" s="3">
        <v>46177</v>
      </c>
      <c r="B122" t="s">
        <v>10</v>
      </c>
      <c r="C122" t="s">
        <v>11</v>
      </c>
      <c r="D122" t="s">
        <v>13</v>
      </c>
      <c r="E122" t="s">
        <v>184</v>
      </c>
    </row>
    <row r="123" spans="1:5">
      <c r="A123" s="3">
        <v>46177</v>
      </c>
      <c r="B123" t="s">
        <v>17</v>
      </c>
      <c r="C123" t="s">
        <v>18</v>
      </c>
      <c r="D123" t="s">
        <v>20</v>
      </c>
      <c r="E123" t="s">
        <v>184</v>
      </c>
    </row>
    <row r="124" spans="1:5">
      <c r="A124" s="3">
        <v>46177</v>
      </c>
      <c r="B124" t="s">
        <v>23</v>
      </c>
      <c r="C124" t="s">
        <v>24</v>
      </c>
      <c r="D124" t="s">
        <v>25</v>
      </c>
      <c r="E124" t="s">
        <v>184</v>
      </c>
    </row>
    <row r="125" spans="1:5">
      <c r="A125" s="3">
        <v>46177</v>
      </c>
      <c r="B125" t="s">
        <v>29</v>
      </c>
      <c r="C125" t="s">
        <v>30</v>
      </c>
      <c r="D125" t="s">
        <v>31</v>
      </c>
      <c r="E125" t="s">
        <v>184</v>
      </c>
    </row>
    <row r="126" spans="1:5">
      <c r="A126" s="3">
        <v>46177</v>
      </c>
      <c r="B126" t="s">
        <v>35</v>
      </c>
      <c r="C126" t="s">
        <v>36</v>
      </c>
      <c r="D126" t="s">
        <v>37</v>
      </c>
      <c r="E126" t="s">
        <v>184</v>
      </c>
    </row>
    <row r="127" spans="1:5">
      <c r="A127" s="3">
        <v>46177</v>
      </c>
      <c r="B127" t="s">
        <v>40</v>
      </c>
      <c r="C127" t="s">
        <v>41</v>
      </c>
      <c r="D127" t="s">
        <v>13</v>
      </c>
      <c r="E127" t="s">
        <v>184</v>
      </c>
    </row>
    <row r="128" spans="1:5">
      <c r="A128" s="3">
        <v>46177</v>
      </c>
      <c r="B128" t="s">
        <v>44</v>
      </c>
      <c r="C128" t="s">
        <v>45</v>
      </c>
      <c r="D128" t="s">
        <v>25</v>
      </c>
      <c r="E128" t="s">
        <v>184</v>
      </c>
    </row>
    <row r="129" spans="1:5">
      <c r="A129" s="3">
        <v>46177</v>
      </c>
      <c r="B129" t="s">
        <v>49</v>
      </c>
      <c r="C129" t="s">
        <v>50</v>
      </c>
      <c r="D129" t="s">
        <v>31</v>
      </c>
      <c r="E129" t="s">
        <v>184</v>
      </c>
    </row>
    <row r="130" spans="1:5">
      <c r="A130" s="3">
        <v>46177</v>
      </c>
      <c r="B130" t="s">
        <v>54</v>
      </c>
      <c r="C130" t="s">
        <v>55</v>
      </c>
      <c r="D130" t="s">
        <v>20</v>
      </c>
      <c r="E130" t="s">
        <v>184</v>
      </c>
    </row>
    <row r="131" spans="1:5">
      <c r="A131" s="3">
        <v>46177</v>
      </c>
      <c r="B131" t="s">
        <v>58</v>
      </c>
      <c r="C131" t="s">
        <v>59</v>
      </c>
      <c r="D131" t="s">
        <v>37</v>
      </c>
      <c r="E131" t="s">
        <v>184</v>
      </c>
    </row>
    <row r="132" spans="1:5">
      <c r="A132" s="3">
        <v>46177</v>
      </c>
      <c r="B132" t="s">
        <v>63</v>
      </c>
      <c r="C132" t="s">
        <v>64</v>
      </c>
      <c r="D132" t="s">
        <v>13</v>
      </c>
      <c r="E132" t="s">
        <v>186</v>
      </c>
    </row>
    <row r="133" spans="1:5">
      <c r="A133" s="3">
        <v>46177</v>
      </c>
      <c r="B133" t="s">
        <v>67</v>
      </c>
      <c r="C133" t="s">
        <v>68</v>
      </c>
      <c r="D133" t="s">
        <v>25</v>
      </c>
      <c r="E133" t="s">
        <v>184</v>
      </c>
    </row>
    <row r="134" spans="1:5">
      <c r="A134" s="3">
        <v>46177</v>
      </c>
      <c r="B134" t="s">
        <v>71</v>
      </c>
      <c r="C134" t="s">
        <v>72</v>
      </c>
      <c r="D134" t="s">
        <v>31</v>
      </c>
      <c r="E134" t="s">
        <v>184</v>
      </c>
    </row>
    <row r="135" spans="1:5">
      <c r="A135" s="3">
        <v>46177</v>
      </c>
      <c r="B135" t="s">
        <v>75</v>
      </c>
      <c r="C135" t="s">
        <v>76</v>
      </c>
      <c r="D135" t="s">
        <v>20</v>
      </c>
      <c r="E135" t="s">
        <v>184</v>
      </c>
    </row>
    <row r="136" spans="1:5">
      <c r="A136" s="3">
        <v>46177</v>
      </c>
      <c r="B136" t="s">
        <v>79</v>
      </c>
      <c r="C136" t="s">
        <v>80</v>
      </c>
      <c r="D136" t="s">
        <v>37</v>
      </c>
      <c r="E136" t="s">
        <v>186</v>
      </c>
    </row>
    <row r="137" spans="1:5">
      <c r="A137" s="3">
        <v>46177</v>
      </c>
      <c r="B137" t="s">
        <v>82</v>
      </c>
      <c r="C137" t="s">
        <v>83</v>
      </c>
      <c r="D137" t="s">
        <v>13</v>
      </c>
      <c r="E137" t="s">
        <v>184</v>
      </c>
    </row>
    <row r="138" spans="1:5">
      <c r="A138" s="3">
        <v>46177</v>
      </c>
      <c r="B138" t="s">
        <v>87</v>
      </c>
      <c r="C138" t="s">
        <v>88</v>
      </c>
      <c r="D138" t="s">
        <v>25</v>
      </c>
      <c r="E138" t="s">
        <v>184</v>
      </c>
    </row>
    <row r="139" spans="1:5">
      <c r="A139" s="3">
        <v>46177</v>
      </c>
      <c r="B139" t="s">
        <v>91</v>
      </c>
      <c r="C139" t="s">
        <v>92</v>
      </c>
      <c r="D139" t="s">
        <v>31</v>
      </c>
      <c r="E139" t="s">
        <v>184</v>
      </c>
    </row>
    <row r="140" spans="1:5">
      <c r="A140" s="3">
        <v>46177</v>
      </c>
      <c r="B140" t="s">
        <v>95</v>
      </c>
      <c r="C140" t="s">
        <v>96</v>
      </c>
      <c r="D140" t="s">
        <v>20</v>
      </c>
      <c r="E140" t="s">
        <v>184</v>
      </c>
    </row>
    <row r="141" spans="1:5">
      <c r="A141" s="3">
        <v>46177</v>
      </c>
      <c r="B141" t="s">
        <v>100</v>
      </c>
      <c r="C141" t="s">
        <v>101</v>
      </c>
      <c r="D141" t="s">
        <v>37</v>
      </c>
      <c r="E141" t="s">
        <v>184</v>
      </c>
    </row>
    <row r="142" spans="1:5">
      <c r="A142" s="3">
        <v>46177</v>
      </c>
      <c r="B142" t="s">
        <v>104</v>
      </c>
      <c r="C142" t="s">
        <v>105</v>
      </c>
      <c r="D142" t="s">
        <v>13</v>
      </c>
      <c r="E142" t="s">
        <v>184</v>
      </c>
    </row>
    <row r="143" spans="1:5">
      <c r="A143" s="3">
        <v>46177</v>
      </c>
      <c r="B143" t="s">
        <v>109</v>
      </c>
      <c r="C143" t="s">
        <v>110</v>
      </c>
      <c r="D143" t="s">
        <v>25</v>
      </c>
      <c r="E143" t="s">
        <v>184</v>
      </c>
    </row>
    <row r="144" spans="1:5">
      <c r="A144" s="3">
        <v>46177</v>
      </c>
      <c r="B144" t="s">
        <v>114</v>
      </c>
      <c r="C144" t="s">
        <v>115</v>
      </c>
      <c r="D144" t="s">
        <v>31</v>
      </c>
      <c r="E144" t="s">
        <v>184</v>
      </c>
    </row>
    <row r="145" spans="1:5">
      <c r="A145" s="3">
        <v>46177</v>
      </c>
      <c r="B145" t="s">
        <v>117</v>
      </c>
      <c r="C145" t="s">
        <v>118</v>
      </c>
      <c r="D145" t="s">
        <v>20</v>
      </c>
      <c r="E145" t="s">
        <v>184</v>
      </c>
    </row>
    <row r="146" spans="1:5">
      <c r="A146" s="3">
        <v>46177</v>
      </c>
      <c r="B146" t="s">
        <v>121</v>
      </c>
      <c r="C146" t="s">
        <v>122</v>
      </c>
      <c r="D146" t="s">
        <v>37</v>
      </c>
      <c r="E146" t="s">
        <v>184</v>
      </c>
    </row>
    <row r="147" spans="1:5">
      <c r="A147" s="3">
        <v>46177</v>
      </c>
      <c r="B147" t="s">
        <v>125</v>
      </c>
      <c r="C147" t="s">
        <v>126</v>
      </c>
      <c r="D147" t="s">
        <v>13</v>
      </c>
      <c r="E147" t="s">
        <v>184</v>
      </c>
    </row>
    <row r="148" spans="1:5">
      <c r="A148" s="3">
        <v>46177</v>
      </c>
      <c r="B148" t="s">
        <v>128</v>
      </c>
      <c r="C148" t="s">
        <v>129</v>
      </c>
      <c r="D148" t="s">
        <v>25</v>
      </c>
      <c r="E148" t="s">
        <v>184</v>
      </c>
    </row>
    <row r="149" spans="1:5">
      <c r="A149" s="3">
        <v>46177</v>
      </c>
      <c r="B149" t="s">
        <v>131</v>
      </c>
      <c r="C149" t="s">
        <v>132</v>
      </c>
      <c r="D149" t="s">
        <v>31</v>
      </c>
      <c r="E149" t="s">
        <v>184</v>
      </c>
    </row>
    <row r="150" spans="1:5">
      <c r="A150" s="3">
        <v>46177</v>
      </c>
      <c r="B150" t="s">
        <v>135</v>
      </c>
      <c r="C150" t="s">
        <v>136</v>
      </c>
      <c r="D150" t="s">
        <v>20</v>
      </c>
      <c r="E150" t="s">
        <v>184</v>
      </c>
    </row>
    <row r="151" spans="1:5">
      <c r="A151" s="3">
        <v>46177</v>
      </c>
      <c r="B151" t="s">
        <v>138</v>
      </c>
      <c r="C151" t="s">
        <v>139</v>
      </c>
      <c r="D151" t="s">
        <v>37</v>
      </c>
      <c r="E151" t="s">
        <v>184</v>
      </c>
    </row>
    <row r="152" spans="1:5">
      <c r="A152" s="3">
        <v>46177</v>
      </c>
      <c r="B152" t="s">
        <v>142</v>
      </c>
      <c r="C152" t="s">
        <v>143</v>
      </c>
      <c r="D152" t="s">
        <v>13</v>
      </c>
      <c r="E152" t="s">
        <v>184</v>
      </c>
    </row>
    <row r="153" spans="1:5">
      <c r="A153" s="3">
        <v>46177</v>
      </c>
      <c r="B153" t="s">
        <v>146</v>
      </c>
      <c r="C153" t="s">
        <v>147</v>
      </c>
      <c r="D153" t="s">
        <v>25</v>
      </c>
      <c r="E153" t="s">
        <v>184</v>
      </c>
    </row>
    <row r="154" spans="1:5">
      <c r="A154" s="3">
        <v>46177</v>
      </c>
      <c r="B154" t="s">
        <v>149</v>
      </c>
      <c r="C154" t="s">
        <v>150</v>
      </c>
      <c r="D154" t="s">
        <v>31</v>
      </c>
      <c r="E154" t="s">
        <v>184</v>
      </c>
    </row>
    <row r="155" spans="1:5">
      <c r="A155" s="3">
        <v>46177</v>
      </c>
      <c r="B155" t="s">
        <v>152</v>
      </c>
      <c r="C155" t="s">
        <v>153</v>
      </c>
      <c r="D155" t="s">
        <v>20</v>
      </c>
      <c r="E155" t="s">
        <v>184</v>
      </c>
    </row>
    <row r="156" spans="1:5">
      <c r="A156" s="3">
        <v>46177</v>
      </c>
      <c r="B156" t="s">
        <v>156</v>
      </c>
      <c r="C156" t="s">
        <v>157</v>
      </c>
      <c r="D156" t="s">
        <v>37</v>
      </c>
      <c r="E156" t="s">
        <v>184</v>
      </c>
    </row>
    <row r="157" spans="1:5">
      <c r="A157" s="3">
        <v>46177</v>
      </c>
      <c r="B157" t="s">
        <v>160</v>
      </c>
      <c r="C157" t="s">
        <v>161</v>
      </c>
      <c r="D157" t="s">
        <v>13</v>
      </c>
      <c r="E157" t="s">
        <v>184</v>
      </c>
    </row>
    <row r="158" spans="1:5">
      <c r="A158" s="3">
        <v>46177</v>
      </c>
      <c r="B158" t="s">
        <v>163</v>
      </c>
      <c r="C158" t="s">
        <v>164</v>
      </c>
      <c r="D158" t="s">
        <v>25</v>
      </c>
      <c r="E158" t="s">
        <v>185</v>
      </c>
    </row>
    <row r="159" spans="1:5">
      <c r="A159" s="3">
        <v>46177</v>
      </c>
      <c r="B159" t="s">
        <v>166</v>
      </c>
      <c r="C159" t="s">
        <v>167</v>
      </c>
      <c r="D159" t="s">
        <v>31</v>
      </c>
      <c r="E159" t="s">
        <v>184</v>
      </c>
    </row>
    <row r="160" spans="1:5">
      <c r="A160" s="3">
        <v>46177</v>
      </c>
      <c r="B160" t="s">
        <v>170</v>
      </c>
      <c r="C160" t="s">
        <v>171</v>
      </c>
      <c r="D160" t="s">
        <v>20</v>
      </c>
      <c r="E160" t="s">
        <v>184</v>
      </c>
    </row>
    <row r="161" spans="1:5">
      <c r="A161" s="3">
        <v>46177</v>
      </c>
      <c r="B161" t="s">
        <v>174</v>
      </c>
      <c r="C161" t="s">
        <v>175</v>
      </c>
      <c r="D161" t="s">
        <v>37</v>
      </c>
      <c r="E161" t="s">
        <v>185</v>
      </c>
    </row>
    <row r="162" spans="1:5">
      <c r="A162" s="3">
        <v>46178</v>
      </c>
      <c r="B162" t="s">
        <v>10</v>
      </c>
      <c r="C162" t="s">
        <v>11</v>
      </c>
      <c r="D162" t="s">
        <v>13</v>
      </c>
      <c r="E162" t="s">
        <v>184</v>
      </c>
    </row>
    <row r="163" spans="1:5">
      <c r="A163" s="3">
        <v>46178</v>
      </c>
      <c r="B163" t="s">
        <v>17</v>
      </c>
      <c r="C163" t="s">
        <v>18</v>
      </c>
      <c r="D163" t="s">
        <v>20</v>
      </c>
      <c r="E163" t="s">
        <v>186</v>
      </c>
    </row>
    <row r="164" spans="1:5">
      <c r="A164" s="3">
        <v>46178</v>
      </c>
      <c r="B164" t="s">
        <v>23</v>
      </c>
      <c r="C164" t="s">
        <v>24</v>
      </c>
      <c r="D164" t="s">
        <v>25</v>
      </c>
      <c r="E164" t="s">
        <v>184</v>
      </c>
    </row>
    <row r="165" spans="1:5">
      <c r="A165" s="3">
        <v>46178</v>
      </c>
      <c r="B165" t="s">
        <v>29</v>
      </c>
      <c r="C165" t="s">
        <v>30</v>
      </c>
      <c r="D165" t="s">
        <v>31</v>
      </c>
      <c r="E165" t="s">
        <v>184</v>
      </c>
    </row>
    <row r="166" spans="1:5">
      <c r="A166" s="3">
        <v>46178</v>
      </c>
      <c r="B166" t="s">
        <v>35</v>
      </c>
      <c r="C166" t="s">
        <v>36</v>
      </c>
      <c r="D166" t="s">
        <v>37</v>
      </c>
      <c r="E166" t="s">
        <v>184</v>
      </c>
    </row>
    <row r="167" spans="1:5">
      <c r="A167" s="3">
        <v>46178</v>
      </c>
      <c r="B167" t="s">
        <v>40</v>
      </c>
      <c r="C167" t="s">
        <v>41</v>
      </c>
      <c r="D167" t="s">
        <v>13</v>
      </c>
      <c r="E167" t="s">
        <v>184</v>
      </c>
    </row>
    <row r="168" spans="1:5">
      <c r="A168" s="3">
        <v>46178</v>
      </c>
      <c r="B168" t="s">
        <v>44</v>
      </c>
      <c r="C168" t="s">
        <v>45</v>
      </c>
      <c r="D168" t="s">
        <v>25</v>
      </c>
      <c r="E168" t="s">
        <v>184</v>
      </c>
    </row>
    <row r="169" spans="1:5">
      <c r="A169" s="3">
        <v>46178</v>
      </c>
      <c r="B169" t="s">
        <v>49</v>
      </c>
      <c r="C169" t="s">
        <v>50</v>
      </c>
      <c r="D169" t="s">
        <v>31</v>
      </c>
      <c r="E169" t="s">
        <v>184</v>
      </c>
    </row>
    <row r="170" spans="1:5">
      <c r="A170" s="3">
        <v>46178</v>
      </c>
      <c r="B170" t="s">
        <v>54</v>
      </c>
      <c r="C170" t="s">
        <v>55</v>
      </c>
      <c r="D170" t="s">
        <v>20</v>
      </c>
      <c r="E170" t="s">
        <v>184</v>
      </c>
    </row>
    <row r="171" spans="1:5">
      <c r="A171" s="3">
        <v>46178</v>
      </c>
      <c r="B171" t="s">
        <v>58</v>
      </c>
      <c r="C171" t="s">
        <v>59</v>
      </c>
      <c r="D171" t="s">
        <v>37</v>
      </c>
      <c r="E171" t="s">
        <v>184</v>
      </c>
    </row>
    <row r="172" spans="1:5">
      <c r="A172" s="3">
        <v>46178</v>
      </c>
      <c r="B172" t="s">
        <v>63</v>
      </c>
      <c r="C172" t="s">
        <v>64</v>
      </c>
      <c r="D172" t="s">
        <v>13</v>
      </c>
      <c r="E172" t="s">
        <v>184</v>
      </c>
    </row>
    <row r="173" spans="1:5">
      <c r="A173" s="3">
        <v>46178</v>
      </c>
      <c r="B173" t="s">
        <v>67</v>
      </c>
      <c r="C173" t="s">
        <v>68</v>
      </c>
      <c r="D173" t="s">
        <v>25</v>
      </c>
      <c r="E173" t="s">
        <v>184</v>
      </c>
    </row>
    <row r="174" spans="1:5">
      <c r="A174" s="3">
        <v>46178</v>
      </c>
      <c r="B174" t="s">
        <v>71</v>
      </c>
      <c r="C174" t="s">
        <v>72</v>
      </c>
      <c r="D174" t="s">
        <v>31</v>
      </c>
      <c r="E174" t="s">
        <v>184</v>
      </c>
    </row>
    <row r="175" spans="1:5">
      <c r="A175" s="3">
        <v>46178</v>
      </c>
      <c r="B175" t="s">
        <v>75</v>
      </c>
      <c r="C175" t="s">
        <v>76</v>
      </c>
      <c r="D175" t="s">
        <v>20</v>
      </c>
      <c r="E175" t="s">
        <v>184</v>
      </c>
    </row>
    <row r="176" spans="1:5">
      <c r="A176" s="3">
        <v>46178</v>
      </c>
      <c r="B176" t="s">
        <v>79</v>
      </c>
      <c r="C176" t="s">
        <v>80</v>
      </c>
      <c r="D176" t="s">
        <v>37</v>
      </c>
      <c r="E176" t="s">
        <v>184</v>
      </c>
    </row>
    <row r="177" spans="1:5">
      <c r="A177" s="3">
        <v>46178</v>
      </c>
      <c r="B177" t="s">
        <v>82</v>
      </c>
      <c r="C177" t="s">
        <v>83</v>
      </c>
      <c r="D177" t="s">
        <v>13</v>
      </c>
      <c r="E177" t="s">
        <v>184</v>
      </c>
    </row>
    <row r="178" spans="1:5">
      <c r="A178" s="3">
        <v>46178</v>
      </c>
      <c r="B178" t="s">
        <v>87</v>
      </c>
      <c r="C178" t="s">
        <v>88</v>
      </c>
      <c r="D178" t="s">
        <v>25</v>
      </c>
      <c r="E178" t="s">
        <v>184</v>
      </c>
    </row>
    <row r="179" spans="1:5">
      <c r="A179" s="3">
        <v>46178</v>
      </c>
      <c r="B179" t="s">
        <v>91</v>
      </c>
      <c r="C179" t="s">
        <v>92</v>
      </c>
      <c r="D179" t="s">
        <v>31</v>
      </c>
      <c r="E179" t="s">
        <v>186</v>
      </c>
    </row>
    <row r="180" spans="1:5">
      <c r="A180" s="3">
        <v>46178</v>
      </c>
      <c r="B180" t="s">
        <v>95</v>
      </c>
      <c r="C180" t="s">
        <v>96</v>
      </c>
      <c r="D180" t="s">
        <v>20</v>
      </c>
      <c r="E180" t="s">
        <v>185</v>
      </c>
    </row>
    <row r="181" spans="1:5">
      <c r="A181" s="3">
        <v>46178</v>
      </c>
      <c r="B181" t="s">
        <v>100</v>
      </c>
      <c r="C181" t="s">
        <v>101</v>
      </c>
      <c r="D181" t="s">
        <v>37</v>
      </c>
      <c r="E181" t="s">
        <v>184</v>
      </c>
    </row>
    <row r="182" spans="1:5">
      <c r="A182" s="3">
        <v>46178</v>
      </c>
      <c r="B182" t="s">
        <v>104</v>
      </c>
      <c r="C182" t="s">
        <v>105</v>
      </c>
      <c r="D182" t="s">
        <v>13</v>
      </c>
      <c r="E182" t="s">
        <v>184</v>
      </c>
    </row>
    <row r="183" spans="1:5">
      <c r="A183" s="3">
        <v>46178</v>
      </c>
      <c r="B183" t="s">
        <v>109</v>
      </c>
      <c r="C183" t="s">
        <v>110</v>
      </c>
      <c r="D183" t="s">
        <v>25</v>
      </c>
      <c r="E183" t="s">
        <v>184</v>
      </c>
    </row>
    <row r="184" spans="1:5">
      <c r="A184" s="3">
        <v>46178</v>
      </c>
      <c r="B184" t="s">
        <v>114</v>
      </c>
      <c r="C184" t="s">
        <v>115</v>
      </c>
      <c r="D184" t="s">
        <v>31</v>
      </c>
      <c r="E184" t="s">
        <v>184</v>
      </c>
    </row>
    <row r="185" spans="1:5">
      <c r="A185" s="3">
        <v>46178</v>
      </c>
      <c r="B185" t="s">
        <v>117</v>
      </c>
      <c r="C185" t="s">
        <v>118</v>
      </c>
      <c r="D185" t="s">
        <v>20</v>
      </c>
      <c r="E185" t="s">
        <v>184</v>
      </c>
    </row>
    <row r="186" spans="1:5">
      <c r="A186" s="3">
        <v>46178</v>
      </c>
      <c r="B186" t="s">
        <v>121</v>
      </c>
      <c r="C186" t="s">
        <v>122</v>
      </c>
      <c r="D186" t="s">
        <v>37</v>
      </c>
      <c r="E186" t="s">
        <v>184</v>
      </c>
    </row>
    <row r="187" spans="1:5">
      <c r="A187" s="3">
        <v>46178</v>
      </c>
      <c r="B187" t="s">
        <v>125</v>
      </c>
      <c r="C187" t="s">
        <v>126</v>
      </c>
      <c r="D187" t="s">
        <v>13</v>
      </c>
      <c r="E187" t="s">
        <v>184</v>
      </c>
    </row>
    <row r="188" spans="1:5">
      <c r="A188" s="3">
        <v>46178</v>
      </c>
      <c r="B188" t="s">
        <v>128</v>
      </c>
      <c r="C188" t="s">
        <v>129</v>
      </c>
      <c r="D188" t="s">
        <v>25</v>
      </c>
      <c r="E188" t="s">
        <v>184</v>
      </c>
    </row>
    <row r="189" spans="1:5">
      <c r="A189" s="3">
        <v>46178</v>
      </c>
      <c r="B189" t="s">
        <v>131</v>
      </c>
      <c r="C189" t="s">
        <v>132</v>
      </c>
      <c r="D189" t="s">
        <v>31</v>
      </c>
      <c r="E189" t="s">
        <v>184</v>
      </c>
    </row>
    <row r="190" spans="1:5">
      <c r="A190" s="3">
        <v>46178</v>
      </c>
      <c r="B190" t="s">
        <v>135</v>
      </c>
      <c r="C190" t="s">
        <v>136</v>
      </c>
      <c r="D190" t="s">
        <v>20</v>
      </c>
      <c r="E190" t="s">
        <v>184</v>
      </c>
    </row>
    <row r="191" spans="1:5">
      <c r="A191" s="3">
        <v>46178</v>
      </c>
      <c r="B191" t="s">
        <v>138</v>
      </c>
      <c r="C191" t="s">
        <v>139</v>
      </c>
      <c r="D191" t="s">
        <v>37</v>
      </c>
      <c r="E191" t="s">
        <v>184</v>
      </c>
    </row>
    <row r="192" spans="1:5">
      <c r="A192" s="3">
        <v>46178</v>
      </c>
      <c r="B192" t="s">
        <v>142</v>
      </c>
      <c r="C192" t="s">
        <v>143</v>
      </c>
      <c r="D192" t="s">
        <v>13</v>
      </c>
      <c r="E192" t="s">
        <v>186</v>
      </c>
    </row>
    <row r="193" spans="1:5">
      <c r="A193" s="3">
        <v>46178</v>
      </c>
      <c r="B193" t="s">
        <v>146</v>
      </c>
      <c r="C193" t="s">
        <v>147</v>
      </c>
      <c r="D193" t="s">
        <v>25</v>
      </c>
      <c r="E193" t="s">
        <v>186</v>
      </c>
    </row>
    <row r="194" spans="1:5">
      <c r="A194" s="3">
        <v>46178</v>
      </c>
      <c r="B194" t="s">
        <v>149</v>
      </c>
      <c r="C194" t="s">
        <v>150</v>
      </c>
      <c r="D194" t="s">
        <v>31</v>
      </c>
      <c r="E194" t="s">
        <v>184</v>
      </c>
    </row>
    <row r="195" spans="1:5">
      <c r="A195" s="3">
        <v>46178</v>
      </c>
      <c r="B195" t="s">
        <v>152</v>
      </c>
      <c r="C195" t="s">
        <v>153</v>
      </c>
      <c r="D195" t="s">
        <v>20</v>
      </c>
      <c r="E195" t="s">
        <v>184</v>
      </c>
    </row>
    <row r="196" spans="1:5">
      <c r="A196" s="3">
        <v>46178</v>
      </c>
      <c r="B196" t="s">
        <v>156</v>
      </c>
      <c r="C196" t="s">
        <v>157</v>
      </c>
      <c r="D196" t="s">
        <v>37</v>
      </c>
      <c r="E196" t="s">
        <v>184</v>
      </c>
    </row>
    <row r="197" spans="1:5">
      <c r="A197" s="3">
        <v>46178</v>
      </c>
      <c r="B197" t="s">
        <v>160</v>
      </c>
      <c r="C197" t="s">
        <v>161</v>
      </c>
      <c r="D197" t="s">
        <v>13</v>
      </c>
      <c r="E197" t="s">
        <v>184</v>
      </c>
    </row>
    <row r="198" spans="1:5">
      <c r="A198" s="3">
        <v>46178</v>
      </c>
      <c r="B198" t="s">
        <v>163</v>
      </c>
      <c r="C198" t="s">
        <v>164</v>
      </c>
      <c r="D198" t="s">
        <v>25</v>
      </c>
      <c r="E198" t="s">
        <v>184</v>
      </c>
    </row>
    <row r="199" spans="1:5">
      <c r="A199" s="3">
        <v>46178</v>
      </c>
      <c r="B199" t="s">
        <v>166</v>
      </c>
      <c r="C199" t="s">
        <v>167</v>
      </c>
      <c r="D199" t="s">
        <v>31</v>
      </c>
      <c r="E199" t="s">
        <v>184</v>
      </c>
    </row>
    <row r="200" spans="1:5">
      <c r="A200" s="3">
        <v>46178</v>
      </c>
      <c r="B200" t="s">
        <v>170</v>
      </c>
      <c r="C200" t="s">
        <v>171</v>
      </c>
      <c r="D200" t="s">
        <v>20</v>
      </c>
      <c r="E200" t="s">
        <v>184</v>
      </c>
    </row>
    <row r="201" spans="1:5">
      <c r="A201" s="3">
        <v>46178</v>
      </c>
      <c r="B201" t="s">
        <v>174</v>
      </c>
      <c r="C201" t="s">
        <v>175</v>
      </c>
      <c r="D201" t="s">
        <v>37</v>
      </c>
      <c r="E201" t="s">
        <v>184</v>
      </c>
    </row>
    <row r="202" spans="1:5">
      <c r="A202" s="3">
        <v>46179</v>
      </c>
      <c r="B202" t="s">
        <v>10</v>
      </c>
      <c r="C202" t="s">
        <v>11</v>
      </c>
      <c r="D202" t="s">
        <v>13</v>
      </c>
      <c r="E202" t="s">
        <v>186</v>
      </c>
    </row>
    <row r="203" spans="1:5">
      <c r="A203" s="3">
        <v>46179</v>
      </c>
      <c r="B203" t="s">
        <v>17</v>
      </c>
      <c r="C203" t="s">
        <v>18</v>
      </c>
      <c r="D203" t="s">
        <v>20</v>
      </c>
      <c r="E203" t="s">
        <v>184</v>
      </c>
    </row>
    <row r="204" spans="1:5">
      <c r="A204" s="3">
        <v>46179</v>
      </c>
      <c r="B204" t="s">
        <v>23</v>
      </c>
      <c r="C204" t="s">
        <v>24</v>
      </c>
      <c r="D204" t="s">
        <v>25</v>
      </c>
      <c r="E204" t="s">
        <v>184</v>
      </c>
    </row>
    <row r="205" spans="1:5">
      <c r="A205" s="3">
        <v>46179</v>
      </c>
      <c r="B205" t="s">
        <v>29</v>
      </c>
      <c r="C205" t="s">
        <v>30</v>
      </c>
      <c r="D205" t="s">
        <v>31</v>
      </c>
      <c r="E205" t="s">
        <v>185</v>
      </c>
    </row>
    <row r="206" spans="1:5">
      <c r="A206" s="3">
        <v>46179</v>
      </c>
      <c r="B206" t="s">
        <v>35</v>
      </c>
      <c r="C206" t="s">
        <v>36</v>
      </c>
      <c r="D206" t="s">
        <v>37</v>
      </c>
      <c r="E206" t="s">
        <v>184</v>
      </c>
    </row>
    <row r="207" spans="1:5">
      <c r="A207" s="3">
        <v>46179</v>
      </c>
      <c r="B207" t="s">
        <v>40</v>
      </c>
      <c r="C207" t="s">
        <v>41</v>
      </c>
      <c r="D207" t="s">
        <v>13</v>
      </c>
      <c r="E207" t="s">
        <v>184</v>
      </c>
    </row>
    <row r="208" spans="1:5">
      <c r="A208" s="3">
        <v>46179</v>
      </c>
      <c r="B208" t="s">
        <v>44</v>
      </c>
      <c r="C208" t="s">
        <v>45</v>
      </c>
      <c r="D208" t="s">
        <v>25</v>
      </c>
      <c r="E208" t="s">
        <v>184</v>
      </c>
    </row>
    <row r="209" spans="1:5">
      <c r="A209" s="3">
        <v>46179</v>
      </c>
      <c r="B209" t="s">
        <v>49</v>
      </c>
      <c r="C209" t="s">
        <v>50</v>
      </c>
      <c r="D209" t="s">
        <v>31</v>
      </c>
      <c r="E209" t="s">
        <v>184</v>
      </c>
    </row>
    <row r="210" spans="1:5">
      <c r="A210" s="3">
        <v>46179</v>
      </c>
      <c r="B210" t="s">
        <v>54</v>
      </c>
      <c r="C210" t="s">
        <v>55</v>
      </c>
      <c r="D210" t="s">
        <v>20</v>
      </c>
      <c r="E210" t="s">
        <v>184</v>
      </c>
    </row>
    <row r="211" spans="1:5">
      <c r="A211" s="3">
        <v>46179</v>
      </c>
      <c r="B211" t="s">
        <v>58</v>
      </c>
      <c r="C211" t="s">
        <v>59</v>
      </c>
      <c r="D211" t="s">
        <v>37</v>
      </c>
      <c r="E211" t="s">
        <v>184</v>
      </c>
    </row>
    <row r="212" spans="1:5">
      <c r="A212" s="3">
        <v>46179</v>
      </c>
      <c r="B212" t="s">
        <v>63</v>
      </c>
      <c r="C212" t="s">
        <v>64</v>
      </c>
      <c r="D212" t="s">
        <v>13</v>
      </c>
      <c r="E212" t="s">
        <v>186</v>
      </c>
    </row>
    <row r="213" spans="1:5">
      <c r="A213" s="3">
        <v>46179</v>
      </c>
      <c r="B213" t="s">
        <v>67</v>
      </c>
      <c r="C213" t="s">
        <v>68</v>
      </c>
      <c r="D213" t="s">
        <v>25</v>
      </c>
      <c r="E213" t="s">
        <v>184</v>
      </c>
    </row>
    <row r="214" spans="1:5">
      <c r="A214" s="3">
        <v>46179</v>
      </c>
      <c r="B214" t="s">
        <v>71</v>
      </c>
      <c r="C214" t="s">
        <v>72</v>
      </c>
      <c r="D214" t="s">
        <v>31</v>
      </c>
      <c r="E214" t="s">
        <v>184</v>
      </c>
    </row>
    <row r="215" spans="1:5">
      <c r="A215" s="3">
        <v>46179</v>
      </c>
      <c r="B215" t="s">
        <v>75</v>
      </c>
      <c r="C215" t="s">
        <v>76</v>
      </c>
      <c r="D215" t="s">
        <v>20</v>
      </c>
      <c r="E215" t="s">
        <v>184</v>
      </c>
    </row>
    <row r="216" spans="1:5">
      <c r="A216" s="3">
        <v>46179</v>
      </c>
      <c r="B216" t="s">
        <v>79</v>
      </c>
      <c r="C216" t="s">
        <v>80</v>
      </c>
      <c r="D216" t="s">
        <v>37</v>
      </c>
      <c r="E216" t="s">
        <v>184</v>
      </c>
    </row>
    <row r="217" spans="1:5">
      <c r="A217" s="3">
        <v>46179</v>
      </c>
      <c r="B217" t="s">
        <v>82</v>
      </c>
      <c r="C217" t="s">
        <v>83</v>
      </c>
      <c r="D217" t="s">
        <v>13</v>
      </c>
      <c r="E217" t="s">
        <v>184</v>
      </c>
    </row>
    <row r="218" spans="1:5">
      <c r="A218" s="3">
        <v>46179</v>
      </c>
      <c r="B218" t="s">
        <v>87</v>
      </c>
      <c r="C218" t="s">
        <v>88</v>
      </c>
      <c r="D218" t="s">
        <v>25</v>
      </c>
      <c r="E218" t="s">
        <v>184</v>
      </c>
    </row>
    <row r="219" spans="1:5">
      <c r="A219" s="3">
        <v>46179</v>
      </c>
      <c r="B219" t="s">
        <v>91</v>
      </c>
      <c r="C219" t="s">
        <v>92</v>
      </c>
      <c r="D219" t="s">
        <v>31</v>
      </c>
      <c r="E219" t="s">
        <v>184</v>
      </c>
    </row>
    <row r="220" spans="1:5">
      <c r="A220" s="3">
        <v>46179</v>
      </c>
      <c r="B220" t="s">
        <v>95</v>
      </c>
      <c r="C220" t="s">
        <v>96</v>
      </c>
      <c r="D220" t="s">
        <v>20</v>
      </c>
      <c r="E220" t="s">
        <v>184</v>
      </c>
    </row>
    <row r="221" spans="1:5">
      <c r="A221" s="3">
        <v>46179</v>
      </c>
      <c r="B221" t="s">
        <v>100</v>
      </c>
      <c r="C221" t="s">
        <v>101</v>
      </c>
      <c r="D221" t="s">
        <v>37</v>
      </c>
      <c r="E221" t="s">
        <v>184</v>
      </c>
    </row>
    <row r="222" spans="1:5">
      <c r="A222" s="3">
        <v>46179</v>
      </c>
      <c r="B222" t="s">
        <v>104</v>
      </c>
      <c r="C222" t="s">
        <v>105</v>
      </c>
      <c r="D222" t="s">
        <v>13</v>
      </c>
      <c r="E222" t="s">
        <v>186</v>
      </c>
    </row>
    <row r="223" spans="1:5">
      <c r="A223" s="3">
        <v>46179</v>
      </c>
      <c r="B223" t="s">
        <v>109</v>
      </c>
      <c r="C223" t="s">
        <v>110</v>
      </c>
      <c r="D223" t="s">
        <v>25</v>
      </c>
      <c r="E223" t="s">
        <v>184</v>
      </c>
    </row>
    <row r="224" spans="1:5">
      <c r="A224" s="3">
        <v>46179</v>
      </c>
      <c r="B224" t="s">
        <v>114</v>
      </c>
      <c r="C224" t="s">
        <v>115</v>
      </c>
      <c r="D224" t="s">
        <v>31</v>
      </c>
      <c r="E224" t="s">
        <v>184</v>
      </c>
    </row>
    <row r="225" spans="1:5">
      <c r="A225" s="3">
        <v>46179</v>
      </c>
      <c r="B225" t="s">
        <v>117</v>
      </c>
      <c r="C225" t="s">
        <v>118</v>
      </c>
      <c r="D225" t="s">
        <v>20</v>
      </c>
      <c r="E225" t="s">
        <v>184</v>
      </c>
    </row>
    <row r="226" spans="1:5">
      <c r="A226" s="3">
        <v>46179</v>
      </c>
      <c r="B226" t="s">
        <v>121</v>
      </c>
      <c r="C226" t="s">
        <v>122</v>
      </c>
      <c r="D226" t="s">
        <v>37</v>
      </c>
      <c r="E226" t="s">
        <v>184</v>
      </c>
    </row>
    <row r="227" spans="1:5">
      <c r="A227" s="3">
        <v>46179</v>
      </c>
      <c r="B227" t="s">
        <v>125</v>
      </c>
      <c r="C227" t="s">
        <v>126</v>
      </c>
      <c r="D227" t="s">
        <v>13</v>
      </c>
      <c r="E227" t="s">
        <v>184</v>
      </c>
    </row>
    <row r="228" spans="1:5">
      <c r="A228" s="3">
        <v>46179</v>
      </c>
      <c r="B228" t="s">
        <v>128</v>
      </c>
      <c r="C228" t="s">
        <v>129</v>
      </c>
      <c r="D228" t="s">
        <v>25</v>
      </c>
      <c r="E228" t="s">
        <v>184</v>
      </c>
    </row>
    <row r="229" spans="1:5">
      <c r="A229" s="3">
        <v>46179</v>
      </c>
      <c r="B229" t="s">
        <v>131</v>
      </c>
      <c r="C229" t="s">
        <v>132</v>
      </c>
      <c r="D229" t="s">
        <v>31</v>
      </c>
      <c r="E229" t="s">
        <v>184</v>
      </c>
    </row>
    <row r="230" spans="1:5">
      <c r="A230" s="3">
        <v>46179</v>
      </c>
      <c r="B230" t="s">
        <v>135</v>
      </c>
      <c r="C230" t="s">
        <v>136</v>
      </c>
      <c r="D230" t="s">
        <v>20</v>
      </c>
      <c r="E230" t="s">
        <v>184</v>
      </c>
    </row>
    <row r="231" spans="1:5">
      <c r="A231" s="3">
        <v>46179</v>
      </c>
      <c r="B231" t="s">
        <v>138</v>
      </c>
      <c r="C231" t="s">
        <v>139</v>
      </c>
      <c r="D231" t="s">
        <v>37</v>
      </c>
      <c r="E231" t="s">
        <v>184</v>
      </c>
    </row>
    <row r="232" spans="1:5">
      <c r="A232" s="3">
        <v>46179</v>
      </c>
      <c r="B232" t="s">
        <v>142</v>
      </c>
      <c r="C232" t="s">
        <v>143</v>
      </c>
      <c r="D232" t="s">
        <v>13</v>
      </c>
      <c r="E232" t="s">
        <v>184</v>
      </c>
    </row>
    <row r="233" spans="1:5">
      <c r="A233" s="3">
        <v>46179</v>
      </c>
      <c r="B233" t="s">
        <v>146</v>
      </c>
      <c r="C233" t="s">
        <v>147</v>
      </c>
      <c r="D233" t="s">
        <v>25</v>
      </c>
      <c r="E233" t="s">
        <v>184</v>
      </c>
    </row>
    <row r="234" spans="1:5">
      <c r="A234" s="3">
        <v>46179</v>
      </c>
      <c r="B234" t="s">
        <v>149</v>
      </c>
      <c r="C234" t="s">
        <v>150</v>
      </c>
      <c r="D234" t="s">
        <v>31</v>
      </c>
      <c r="E234" t="s">
        <v>184</v>
      </c>
    </row>
    <row r="235" spans="1:5">
      <c r="A235" s="3">
        <v>46179</v>
      </c>
      <c r="B235" t="s">
        <v>152</v>
      </c>
      <c r="C235" t="s">
        <v>153</v>
      </c>
      <c r="D235" t="s">
        <v>20</v>
      </c>
      <c r="E235" t="s">
        <v>184</v>
      </c>
    </row>
    <row r="236" spans="1:5">
      <c r="A236" s="3">
        <v>46179</v>
      </c>
      <c r="B236" t="s">
        <v>156</v>
      </c>
      <c r="C236" t="s">
        <v>157</v>
      </c>
      <c r="D236" t="s">
        <v>37</v>
      </c>
      <c r="E236" t="s">
        <v>184</v>
      </c>
    </row>
    <row r="237" spans="1:5">
      <c r="A237" s="3">
        <v>46179</v>
      </c>
      <c r="B237" t="s">
        <v>160</v>
      </c>
      <c r="C237" t="s">
        <v>161</v>
      </c>
      <c r="D237" t="s">
        <v>13</v>
      </c>
      <c r="E237" t="s">
        <v>184</v>
      </c>
    </row>
    <row r="238" spans="1:5">
      <c r="A238" s="3">
        <v>46179</v>
      </c>
      <c r="B238" t="s">
        <v>163</v>
      </c>
      <c r="C238" t="s">
        <v>164</v>
      </c>
      <c r="D238" t="s">
        <v>25</v>
      </c>
      <c r="E238" t="s">
        <v>184</v>
      </c>
    </row>
    <row r="239" spans="1:5">
      <c r="A239" s="3">
        <v>46179</v>
      </c>
      <c r="B239" t="s">
        <v>166</v>
      </c>
      <c r="C239" t="s">
        <v>167</v>
      </c>
      <c r="D239" t="s">
        <v>31</v>
      </c>
      <c r="E239" t="s">
        <v>184</v>
      </c>
    </row>
    <row r="240" spans="1:5">
      <c r="A240" s="3">
        <v>46179</v>
      </c>
      <c r="B240" t="s">
        <v>170</v>
      </c>
      <c r="C240" t="s">
        <v>171</v>
      </c>
      <c r="D240" t="s">
        <v>20</v>
      </c>
      <c r="E240" t="s">
        <v>184</v>
      </c>
    </row>
    <row r="241" spans="1:5">
      <c r="A241" s="3">
        <v>46179</v>
      </c>
      <c r="B241" t="s">
        <v>174</v>
      </c>
      <c r="C241" t="s">
        <v>175</v>
      </c>
      <c r="D241" t="s">
        <v>37</v>
      </c>
      <c r="E241" t="s">
        <v>184</v>
      </c>
    </row>
    <row r="242" spans="1:5">
      <c r="A242" s="3">
        <v>46180</v>
      </c>
      <c r="B242" t="s">
        <v>10</v>
      </c>
      <c r="C242" t="s">
        <v>11</v>
      </c>
      <c r="D242" t="s">
        <v>13</v>
      </c>
      <c r="E242" t="s">
        <v>184</v>
      </c>
    </row>
    <row r="243" spans="1:5">
      <c r="A243" s="3">
        <v>46180</v>
      </c>
      <c r="B243" t="s">
        <v>17</v>
      </c>
      <c r="C243" t="s">
        <v>18</v>
      </c>
      <c r="D243" t="s">
        <v>20</v>
      </c>
      <c r="E243" t="s">
        <v>184</v>
      </c>
    </row>
    <row r="244" spans="1:5">
      <c r="A244" s="3">
        <v>46180</v>
      </c>
      <c r="B244" t="s">
        <v>23</v>
      </c>
      <c r="C244" t="s">
        <v>24</v>
      </c>
      <c r="D244" t="s">
        <v>25</v>
      </c>
      <c r="E244" t="s">
        <v>184</v>
      </c>
    </row>
    <row r="245" spans="1:5">
      <c r="A245" s="3">
        <v>46180</v>
      </c>
      <c r="B245" t="s">
        <v>29</v>
      </c>
      <c r="C245" t="s">
        <v>30</v>
      </c>
      <c r="D245" t="s">
        <v>31</v>
      </c>
      <c r="E245" t="s">
        <v>184</v>
      </c>
    </row>
    <row r="246" spans="1:5">
      <c r="A246" s="3">
        <v>46180</v>
      </c>
      <c r="B246" t="s">
        <v>35</v>
      </c>
      <c r="C246" t="s">
        <v>36</v>
      </c>
      <c r="D246" t="s">
        <v>37</v>
      </c>
      <c r="E246" t="s">
        <v>184</v>
      </c>
    </row>
    <row r="247" spans="1:5">
      <c r="A247" s="3">
        <v>46180</v>
      </c>
      <c r="B247" t="s">
        <v>40</v>
      </c>
      <c r="C247" t="s">
        <v>41</v>
      </c>
      <c r="D247" t="s">
        <v>13</v>
      </c>
      <c r="E247" t="s">
        <v>184</v>
      </c>
    </row>
    <row r="248" spans="1:5">
      <c r="A248" s="3">
        <v>46180</v>
      </c>
      <c r="B248" t="s">
        <v>44</v>
      </c>
      <c r="C248" t="s">
        <v>45</v>
      </c>
      <c r="D248" t="s">
        <v>25</v>
      </c>
      <c r="E248" t="s">
        <v>184</v>
      </c>
    </row>
    <row r="249" spans="1:5">
      <c r="A249" s="3">
        <v>46180</v>
      </c>
      <c r="B249" t="s">
        <v>49</v>
      </c>
      <c r="C249" t="s">
        <v>50</v>
      </c>
      <c r="D249" t="s">
        <v>31</v>
      </c>
      <c r="E249" t="s">
        <v>184</v>
      </c>
    </row>
    <row r="250" spans="1:5">
      <c r="A250" s="3">
        <v>46180</v>
      </c>
      <c r="B250" t="s">
        <v>54</v>
      </c>
      <c r="C250" t="s">
        <v>55</v>
      </c>
      <c r="D250" t="s">
        <v>20</v>
      </c>
      <c r="E250" t="s">
        <v>184</v>
      </c>
    </row>
    <row r="251" spans="1:5">
      <c r="A251" s="3">
        <v>46180</v>
      </c>
      <c r="B251" t="s">
        <v>58</v>
      </c>
      <c r="C251" t="s">
        <v>59</v>
      </c>
      <c r="D251" t="s">
        <v>37</v>
      </c>
      <c r="E251" t="s">
        <v>184</v>
      </c>
    </row>
    <row r="252" spans="1:5">
      <c r="A252" s="3">
        <v>46180</v>
      </c>
      <c r="B252" t="s">
        <v>63</v>
      </c>
      <c r="C252" t="s">
        <v>64</v>
      </c>
      <c r="D252" t="s">
        <v>13</v>
      </c>
      <c r="E252" t="s">
        <v>184</v>
      </c>
    </row>
    <row r="253" spans="1:5">
      <c r="A253" s="3">
        <v>46180</v>
      </c>
      <c r="B253" t="s">
        <v>67</v>
      </c>
      <c r="C253" t="s">
        <v>68</v>
      </c>
      <c r="D253" t="s">
        <v>25</v>
      </c>
      <c r="E253" t="s">
        <v>184</v>
      </c>
    </row>
    <row r="254" spans="1:5">
      <c r="A254" s="3">
        <v>46180</v>
      </c>
      <c r="B254" t="s">
        <v>71</v>
      </c>
      <c r="C254" t="s">
        <v>72</v>
      </c>
      <c r="D254" t="s">
        <v>31</v>
      </c>
      <c r="E254" t="s">
        <v>184</v>
      </c>
    </row>
    <row r="255" spans="1:5">
      <c r="A255" s="3">
        <v>46180</v>
      </c>
      <c r="B255" t="s">
        <v>75</v>
      </c>
      <c r="C255" t="s">
        <v>76</v>
      </c>
      <c r="D255" t="s">
        <v>20</v>
      </c>
      <c r="E255" t="s">
        <v>184</v>
      </c>
    </row>
    <row r="256" spans="1:5">
      <c r="A256" s="3">
        <v>46180</v>
      </c>
      <c r="B256" t="s">
        <v>79</v>
      </c>
      <c r="C256" t="s">
        <v>80</v>
      </c>
      <c r="D256" t="s">
        <v>37</v>
      </c>
      <c r="E256" t="s">
        <v>184</v>
      </c>
    </row>
    <row r="257" spans="1:5">
      <c r="A257" s="3">
        <v>46180</v>
      </c>
      <c r="B257" t="s">
        <v>82</v>
      </c>
      <c r="C257" t="s">
        <v>83</v>
      </c>
      <c r="D257" t="s">
        <v>13</v>
      </c>
      <c r="E257" t="s">
        <v>184</v>
      </c>
    </row>
    <row r="258" spans="1:5">
      <c r="A258" s="3">
        <v>46180</v>
      </c>
      <c r="B258" t="s">
        <v>87</v>
      </c>
      <c r="C258" t="s">
        <v>88</v>
      </c>
      <c r="D258" t="s">
        <v>25</v>
      </c>
      <c r="E258" t="s">
        <v>184</v>
      </c>
    </row>
    <row r="259" spans="1:5">
      <c r="A259" s="3">
        <v>46180</v>
      </c>
      <c r="B259" t="s">
        <v>91</v>
      </c>
      <c r="C259" t="s">
        <v>92</v>
      </c>
      <c r="D259" t="s">
        <v>31</v>
      </c>
      <c r="E259" t="s">
        <v>186</v>
      </c>
    </row>
    <row r="260" spans="1:5">
      <c r="A260" s="3">
        <v>46180</v>
      </c>
      <c r="B260" t="s">
        <v>95</v>
      </c>
      <c r="C260" t="s">
        <v>96</v>
      </c>
      <c r="D260" t="s">
        <v>20</v>
      </c>
      <c r="E260" t="s">
        <v>186</v>
      </c>
    </row>
    <row r="261" spans="1:5">
      <c r="A261" s="3">
        <v>46180</v>
      </c>
      <c r="B261" t="s">
        <v>100</v>
      </c>
      <c r="C261" t="s">
        <v>101</v>
      </c>
      <c r="D261" t="s">
        <v>37</v>
      </c>
      <c r="E261" t="s">
        <v>184</v>
      </c>
    </row>
    <row r="262" spans="1:5">
      <c r="A262" s="3">
        <v>46180</v>
      </c>
      <c r="B262" t="s">
        <v>104</v>
      </c>
      <c r="C262" t="s">
        <v>105</v>
      </c>
      <c r="D262" t="s">
        <v>13</v>
      </c>
      <c r="E262" t="s">
        <v>184</v>
      </c>
    </row>
    <row r="263" spans="1:5">
      <c r="A263" s="3">
        <v>46180</v>
      </c>
      <c r="B263" t="s">
        <v>109</v>
      </c>
      <c r="C263" t="s">
        <v>110</v>
      </c>
      <c r="D263" t="s">
        <v>25</v>
      </c>
      <c r="E263" t="s">
        <v>184</v>
      </c>
    </row>
    <row r="264" spans="1:5">
      <c r="A264" s="3">
        <v>46180</v>
      </c>
      <c r="B264" t="s">
        <v>114</v>
      </c>
      <c r="C264" t="s">
        <v>115</v>
      </c>
      <c r="D264" t="s">
        <v>31</v>
      </c>
      <c r="E264" t="s">
        <v>186</v>
      </c>
    </row>
    <row r="265" spans="1:5">
      <c r="A265" s="3">
        <v>46180</v>
      </c>
      <c r="B265" t="s">
        <v>117</v>
      </c>
      <c r="C265" t="s">
        <v>118</v>
      </c>
      <c r="D265" t="s">
        <v>20</v>
      </c>
      <c r="E265" t="s">
        <v>184</v>
      </c>
    </row>
    <row r="266" spans="1:5">
      <c r="A266" s="3">
        <v>46180</v>
      </c>
      <c r="B266" t="s">
        <v>121</v>
      </c>
      <c r="C266" t="s">
        <v>122</v>
      </c>
      <c r="D266" t="s">
        <v>37</v>
      </c>
      <c r="E266" t="s">
        <v>184</v>
      </c>
    </row>
    <row r="267" spans="1:5">
      <c r="A267" s="3">
        <v>46180</v>
      </c>
      <c r="B267" t="s">
        <v>125</v>
      </c>
      <c r="C267" t="s">
        <v>126</v>
      </c>
      <c r="D267" t="s">
        <v>13</v>
      </c>
      <c r="E267" t="s">
        <v>186</v>
      </c>
    </row>
    <row r="268" spans="1:5">
      <c r="A268" s="3">
        <v>46180</v>
      </c>
      <c r="B268" t="s">
        <v>128</v>
      </c>
      <c r="C268" t="s">
        <v>129</v>
      </c>
      <c r="D268" t="s">
        <v>25</v>
      </c>
      <c r="E268" t="s">
        <v>184</v>
      </c>
    </row>
    <row r="269" spans="1:5">
      <c r="A269" s="3">
        <v>46180</v>
      </c>
      <c r="B269" t="s">
        <v>131</v>
      </c>
      <c r="C269" t="s">
        <v>132</v>
      </c>
      <c r="D269" t="s">
        <v>31</v>
      </c>
      <c r="E269" t="s">
        <v>186</v>
      </c>
    </row>
    <row r="270" spans="1:5">
      <c r="A270" s="3">
        <v>46180</v>
      </c>
      <c r="B270" t="s">
        <v>135</v>
      </c>
      <c r="C270" t="s">
        <v>136</v>
      </c>
      <c r="D270" t="s">
        <v>20</v>
      </c>
      <c r="E270" t="s">
        <v>184</v>
      </c>
    </row>
    <row r="271" spans="1:5">
      <c r="A271" s="3">
        <v>46180</v>
      </c>
      <c r="B271" t="s">
        <v>138</v>
      </c>
      <c r="C271" t="s">
        <v>139</v>
      </c>
      <c r="D271" t="s">
        <v>37</v>
      </c>
      <c r="E271" t="s">
        <v>184</v>
      </c>
    </row>
    <row r="272" spans="1:5">
      <c r="A272" s="3">
        <v>46180</v>
      </c>
      <c r="B272" t="s">
        <v>142</v>
      </c>
      <c r="C272" t="s">
        <v>143</v>
      </c>
      <c r="D272" t="s">
        <v>13</v>
      </c>
      <c r="E272" t="s">
        <v>185</v>
      </c>
    </row>
    <row r="273" spans="1:5">
      <c r="A273" s="3">
        <v>46180</v>
      </c>
      <c r="B273" t="s">
        <v>146</v>
      </c>
      <c r="C273" t="s">
        <v>147</v>
      </c>
      <c r="D273" t="s">
        <v>25</v>
      </c>
      <c r="E273" t="s">
        <v>184</v>
      </c>
    </row>
    <row r="274" spans="1:5">
      <c r="A274" s="3">
        <v>46180</v>
      </c>
      <c r="B274" t="s">
        <v>149</v>
      </c>
      <c r="C274" t="s">
        <v>150</v>
      </c>
      <c r="D274" t="s">
        <v>31</v>
      </c>
      <c r="E274" t="s">
        <v>184</v>
      </c>
    </row>
    <row r="275" spans="1:5">
      <c r="A275" s="3">
        <v>46180</v>
      </c>
      <c r="B275" t="s">
        <v>152</v>
      </c>
      <c r="C275" t="s">
        <v>153</v>
      </c>
      <c r="D275" t="s">
        <v>20</v>
      </c>
      <c r="E275" t="s">
        <v>184</v>
      </c>
    </row>
    <row r="276" spans="1:5">
      <c r="A276" s="3">
        <v>46180</v>
      </c>
      <c r="B276" t="s">
        <v>156</v>
      </c>
      <c r="C276" t="s">
        <v>157</v>
      </c>
      <c r="D276" t="s">
        <v>37</v>
      </c>
      <c r="E276" t="s">
        <v>184</v>
      </c>
    </row>
    <row r="277" spans="1:5">
      <c r="A277" s="3">
        <v>46180</v>
      </c>
      <c r="B277" t="s">
        <v>160</v>
      </c>
      <c r="C277" t="s">
        <v>161</v>
      </c>
      <c r="D277" t="s">
        <v>13</v>
      </c>
      <c r="E277" t="s">
        <v>184</v>
      </c>
    </row>
    <row r="278" spans="1:5">
      <c r="A278" s="3">
        <v>46180</v>
      </c>
      <c r="B278" t="s">
        <v>163</v>
      </c>
      <c r="C278" t="s">
        <v>164</v>
      </c>
      <c r="D278" t="s">
        <v>25</v>
      </c>
      <c r="E278" t="s">
        <v>184</v>
      </c>
    </row>
    <row r="279" spans="1:5">
      <c r="A279" s="3">
        <v>46180</v>
      </c>
      <c r="B279" t="s">
        <v>166</v>
      </c>
      <c r="C279" t="s">
        <v>167</v>
      </c>
      <c r="D279" t="s">
        <v>31</v>
      </c>
      <c r="E279" t="s">
        <v>186</v>
      </c>
    </row>
    <row r="280" spans="1:5">
      <c r="A280" s="3">
        <v>46180</v>
      </c>
      <c r="B280" t="s">
        <v>170</v>
      </c>
      <c r="C280" t="s">
        <v>171</v>
      </c>
      <c r="D280" t="s">
        <v>20</v>
      </c>
      <c r="E280" t="s">
        <v>186</v>
      </c>
    </row>
    <row r="281" spans="1:5">
      <c r="A281" s="3">
        <v>46180</v>
      </c>
      <c r="B281" t="s">
        <v>174</v>
      </c>
      <c r="C281" t="s">
        <v>175</v>
      </c>
      <c r="D281" t="s">
        <v>37</v>
      </c>
      <c r="E281" t="s">
        <v>184</v>
      </c>
    </row>
    <row r="282" spans="1:5">
      <c r="A282" s="3">
        <v>46181</v>
      </c>
      <c r="B282" t="s">
        <v>10</v>
      </c>
      <c r="C282" t="s">
        <v>11</v>
      </c>
      <c r="D282" t="s">
        <v>13</v>
      </c>
      <c r="E282" t="s">
        <v>184</v>
      </c>
    </row>
    <row r="283" spans="1:5">
      <c r="A283" s="3">
        <v>46181</v>
      </c>
      <c r="B283" t="s">
        <v>17</v>
      </c>
      <c r="C283" t="s">
        <v>18</v>
      </c>
      <c r="D283" t="s">
        <v>20</v>
      </c>
      <c r="E283" t="s">
        <v>184</v>
      </c>
    </row>
    <row r="284" spans="1:5">
      <c r="A284" s="3">
        <v>46181</v>
      </c>
      <c r="B284" t="s">
        <v>23</v>
      </c>
      <c r="C284" t="s">
        <v>24</v>
      </c>
      <c r="D284" t="s">
        <v>25</v>
      </c>
      <c r="E284" t="s">
        <v>184</v>
      </c>
    </row>
    <row r="285" spans="1:5">
      <c r="A285" s="3">
        <v>46181</v>
      </c>
      <c r="B285" t="s">
        <v>29</v>
      </c>
      <c r="C285" t="s">
        <v>30</v>
      </c>
      <c r="D285" t="s">
        <v>31</v>
      </c>
      <c r="E285" t="s">
        <v>184</v>
      </c>
    </row>
    <row r="286" spans="1:5">
      <c r="A286" s="3">
        <v>46181</v>
      </c>
      <c r="B286" t="s">
        <v>35</v>
      </c>
      <c r="C286" t="s">
        <v>36</v>
      </c>
      <c r="D286" t="s">
        <v>37</v>
      </c>
      <c r="E286" t="s">
        <v>184</v>
      </c>
    </row>
    <row r="287" spans="1:5">
      <c r="A287" s="3">
        <v>46181</v>
      </c>
      <c r="B287" t="s">
        <v>40</v>
      </c>
      <c r="C287" t="s">
        <v>41</v>
      </c>
      <c r="D287" t="s">
        <v>13</v>
      </c>
      <c r="E287" t="s">
        <v>184</v>
      </c>
    </row>
    <row r="288" spans="1:5">
      <c r="A288" s="3">
        <v>46181</v>
      </c>
      <c r="B288" t="s">
        <v>44</v>
      </c>
      <c r="C288" t="s">
        <v>45</v>
      </c>
      <c r="D288" t="s">
        <v>25</v>
      </c>
      <c r="E288" t="s">
        <v>184</v>
      </c>
    </row>
    <row r="289" spans="1:5">
      <c r="A289" s="3">
        <v>46181</v>
      </c>
      <c r="B289" t="s">
        <v>49</v>
      </c>
      <c r="C289" t="s">
        <v>50</v>
      </c>
      <c r="D289" t="s">
        <v>31</v>
      </c>
      <c r="E289" t="s">
        <v>184</v>
      </c>
    </row>
    <row r="290" spans="1:5">
      <c r="A290" s="3">
        <v>46181</v>
      </c>
      <c r="B290" t="s">
        <v>54</v>
      </c>
      <c r="C290" t="s">
        <v>55</v>
      </c>
      <c r="D290" t="s">
        <v>20</v>
      </c>
      <c r="E290" t="s">
        <v>184</v>
      </c>
    </row>
    <row r="291" spans="1:5">
      <c r="A291" s="3">
        <v>46181</v>
      </c>
      <c r="B291" t="s">
        <v>58</v>
      </c>
      <c r="C291" t="s">
        <v>59</v>
      </c>
      <c r="D291" t="s">
        <v>37</v>
      </c>
      <c r="E291" t="s">
        <v>184</v>
      </c>
    </row>
    <row r="292" spans="1:5">
      <c r="A292" s="3">
        <v>46181</v>
      </c>
      <c r="B292" t="s">
        <v>63</v>
      </c>
      <c r="C292" t="s">
        <v>64</v>
      </c>
      <c r="D292" t="s">
        <v>13</v>
      </c>
      <c r="E292" t="s">
        <v>186</v>
      </c>
    </row>
    <row r="293" spans="1:5">
      <c r="A293" s="3">
        <v>46181</v>
      </c>
      <c r="B293" t="s">
        <v>67</v>
      </c>
      <c r="C293" t="s">
        <v>68</v>
      </c>
      <c r="D293" t="s">
        <v>25</v>
      </c>
      <c r="E293" t="s">
        <v>184</v>
      </c>
    </row>
    <row r="294" spans="1:5">
      <c r="A294" s="3">
        <v>46181</v>
      </c>
      <c r="B294" t="s">
        <v>71</v>
      </c>
      <c r="C294" t="s">
        <v>72</v>
      </c>
      <c r="D294" t="s">
        <v>31</v>
      </c>
      <c r="E294" t="s">
        <v>184</v>
      </c>
    </row>
    <row r="295" spans="1:5">
      <c r="A295" s="3">
        <v>46181</v>
      </c>
      <c r="B295" t="s">
        <v>75</v>
      </c>
      <c r="C295" t="s">
        <v>76</v>
      </c>
      <c r="D295" t="s">
        <v>20</v>
      </c>
      <c r="E295" t="s">
        <v>184</v>
      </c>
    </row>
    <row r="296" spans="1:5">
      <c r="A296" s="3">
        <v>46181</v>
      </c>
      <c r="B296" t="s">
        <v>79</v>
      </c>
      <c r="C296" t="s">
        <v>80</v>
      </c>
      <c r="D296" t="s">
        <v>37</v>
      </c>
      <c r="E296" t="s">
        <v>184</v>
      </c>
    </row>
    <row r="297" spans="1:5">
      <c r="A297" s="3">
        <v>46181</v>
      </c>
      <c r="B297" t="s">
        <v>82</v>
      </c>
      <c r="C297" t="s">
        <v>83</v>
      </c>
      <c r="D297" t="s">
        <v>13</v>
      </c>
      <c r="E297" t="s">
        <v>184</v>
      </c>
    </row>
    <row r="298" spans="1:5">
      <c r="A298" s="3">
        <v>46181</v>
      </c>
      <c r="B298" t="s">
        <v>87</v>
      </c>
      <c r="C298" t="s">
        <v>88</v>
      </c>
      <c r="D298" t="s">
        <v>25</v>
      </c>
      <c r="E298" t="s">
        <v>184</v>
      </c>
    </row>
    <row r="299" spans="1:5">
      <c r="A299" s="3">
        <v>46181</v>
      </c>
      <c r="B299" t="s">
        <v>91</v>
      </c>
      <c r="C299" t="s">
        <v>92</v>
      </c>
      <c r="D299" t="s">
        <v>31</v>
      </c>
      <c r="E299" t="s">
        <v>184</v>
      </c>
    </row>
    <row r="300" spans="1:5">
      <c r="A300" s="3">
        <v>46181</v>
      </c>
      <c r="B300" t="s">
        <v>95</v>
      </c>
      <c r="C300" t="s">
        <v>96</v>
      </c>
      <c r="D300" t="s">
        <v>20</v>
      </c>
      <c r="E300" t="s">
        <v>184</v>
      </c>
    </row>
    <row r="301" spans="1:5">
      <c r="A301" s="3">
        <v>46181</v>
      </c>
      <c r="B301" t="s">
        <v>100</v>
      </c>
      <c r="C301" t="s">
        <v>101</v>
      </c>
      <c r="D301" t="s">
        <v>37</v>
      </c>
      <c r="E301" t="s">
        <v>184</v>
      </c>
    </row>
    <row r="302" spans="1:5">
      <c r="A302" s="3">
        <v>46181</v>
      </c>
      <c r="B302" t="s">
        <v>104</v>
      </c>
      <c r="C302" t="s">
        <v>105</v>
      </c>
      <c r="D302" t="s">
        <v>13</v>
      </c>
      <c r="E302" t="s">
        <v>184</v>
      </c>
    </row>
    <row r="303" spans="1:5">
      <c r="A303" s="3">
        <v>46181</v>
      </c>
      <c r="B303" t="s">
        <v>109</v>
      </c>
      <c r="C303" t="s">
        <v>110</v>
      </c>
      <c r="D303" t="s">
        <v>25</v>
      </c>
      <c r="E303" t="s">
        <v>184</v>
      </c>
    </row>
    <row r="304" spans="1:5">
      <c r="A304" s="3">
        <v>46181</v>
      </c>
      <c r="B304" t="s">
        <v>114</v>
      </c>
      <c r="C304" t="s">
        <v>115</v>
      </c>
      <c r="D304" t="s">
        <v>31</v>
      </c>
      <c r="E304" t="s">
        <v>184</v>
      </c>
    </row>
    <row r="305" spans="1:5">
      <c r="A305" s="3">
        <v>46181</v>
      </c>
      <c r="B305" t="s">
        <v>117</v>
      </c>
      <c r="C305" t="s">
        <v>118</v>
      </c>
      <c r="D305" t="s">
        <v>20</v>
      </c>
      <c r="E305" t="s">
        <v>184</v>
      </c>
    </row>
    <row r="306" spans="1:5">
      <c r="A306" s="3">
        <v>46181</v>
      </c>
      <c r="B306" t="s">
        <v>121</v>
      </c>
      <c r="C306" t="s">
        <v>122</v>
      </c>
      <c r="D306" t="s">
        <v>37</v>
      </c>
      <c r="E306" t="s">
        <v>184</v>
      </c>
    </row>
    <row r="307" spans="1:5">
      <c r="A307" s="3">
        <v>46181</v>
      </c>
      <c r="B307" t="s">
        <v>125</v>
      </c>
      <c r="C307" t="s">
        <v>126</v>
      </c>
      <c r="D307" t="s">
        <v>13</v>
      </c>
      <c r="E307" t="s">
        <v>184</v>
      </c>
    </row>
    <row r="308" spans="1:5">
      <c r="A308" s="3">
        <v>46181</v>
      </c>
      <c r="B308" t="s">
        <v>128</v>
      </c>
      <c r="C308" t="s">
        <v>129</v>
      </c>
      <c r="D308" t="s">
        <v>25</v>
      </c>
      <c r="E308" t="s">
        <v>185</v>
      </c>
    </row>
    <row r="309" spans="1:5">
      <c r="A309" s="3">
        <v>46181</v>
      </c>
      <c r="B309" t="s">
        <v>131</v>
      </c>
      <c r="C309" t="s">
        <v>132</v>
      </c>
      <c r="D309" t="s">
        <v>31</v>
      </c>
      <c r="E309" t="s">
        <v>184</v>
      </c>
    </row>
    <row r="310" spans="1:5">
      <c r="A310" s="3">
        <v>46181</v>
      </c>
      <c r="B310" t="s">
        <v>135</v>
      </c>
      <c r="C310" t="s">
        <v>136</v>
      </c>
      <c r="D310" t="s">
        <v>20</v>
      </c>
      <c r="E310" t="s">
        <v>185</v>
      </c>
    </row>
    <row r="311" spans="1:5">
      <c r="A311" s="3">
        <v>46181</v>
      </c>
      <c r="B311" t="s">
        <v>138</v>
      </c>
      <c r="C311" t="s">
        <v>139</v>
      </c>
      <c r="D311" t="s">
        <v>37</v>
      </c>
      <c r="E311" t="s">
        <v>184</v>
      </c>
    </row>
    <row r="312" spans="1:5">
      <c r="A312" s="3">
        <v>46181</v>
      </c>
      <c r="B312" t="s">
        <v>142</v>
      </c>
      <c r="C312" t="s">
        <v>143</v>
      </c>
      <c r="D312" t="s">
        <v>13</v>
      </c>
      <c r="E312" t="s">
        <v>184</v>
      </c>
    </row>
    <row r="313" spans="1:5">
      <c r="A313" s="3">
        <v>46181</v>
      </c>
      <c r="B313" t="s">
        <v>146</v>
      </c>
      <c r="C313" t="s">
        <v>147</v>
      </c>
      <c r="D313" t="s">
        <v>25</v>
      </c>
      <c r="E313" t="s">
        <v>184</v>
      </c>
    </row>
    <row r="314" spans="1:5">
      <c r="A314" s="3">
        <v>46181</v>
      </c>
      <c r="B314" t="s">
        <v>149</v>
      </c>
      <c r="C314" t="s">
        <v>150</v>
      </c>
      <c r="D314" t="s">
        <v>31</v>
      </c>
      <c r="E314" t="s">
        <v>185</v>
      </c>
    </row>
    <row r="315" spans="1:5">
      <c r="A315" s="3">
        <v>46181</v>
      </c>
      <c r="B315" t="s">
        <v>152</v>
      </c>
      <c r="C315" t="s">
        <v>153</v>
      </c>
      <c r="D315" t="s">
        <v>20</v>
      </c>
      <c r="E315" t="s">
        <v>184</v>
      </c>
    </row>
    <row r="316" spans="1:5">
      <c r="A316" s="3">
        <v>46181</v>
      </c>
      <c r="B316" t="s">
        <v>156</v>
      </c>
      <c r="C316" t="s">
        <v>157</v>
      </c>
      <c r="D316" t="s">
        <v>37</v>
      </c>
      <c r="E316" t="s">
        <v>185</v>
      </c>
    </row>
    <row r="317" spans="1:5">
      <c r="A317" s="3">
        <v>46181</v>
      </c>
      <c r="B317" t="s">
        <v>160</v>
      </c>
      <c r="C317" t="s">
        <v>161</v>
      </c>
      <c r="D317" t="s">
        <v>13</v>
      </c>
      <c r="E317" t="s">
        <v>184</v>
      </c>
    </row>
    <row r="318" spans="1:5">
      <c r="A318" s="3">
        <v>46181</v>
      </c>
      <c r="B318" t="s">
        <v>163</v>
      </c>
      <c r="C318" t="s">
        <v>164</v>
      </c>
      <c r="D318" t="s">
        <v>25</v>
      </c>
      <c r="E318" t="s">
        <v>184</v>
      </c>
    </row>
    <row r="319" spans="1:5">
      <c r="A319" s="3">
        <v>46181</v>
      </c>
      <c r="B319" t="s">
        <v>166</v>
      </c>
      <c r="C319" t="s">
        <v>167</v>
      </c>
      <c r="D319" t="s">
        <v>31</v>
      </c>
      <c r="E319" t="s">
        <v>184</v>
      </c>
    </row>
    <row r="320" spans="1:5">
      <c r="A320" s="3">
        <v>46181</v>
      </c>
      <c r="B320" t="s">
        <v>170</v>
      </c>
      <c r="C320" t="s">
        <v>171</v>
      </c>
      <c r="D320" t="s">
        <v>20</v>
      </c>
      <c r="E320" t="s">
        <v>184</v>
      </c>
    </row>
    <row r="321" spans="1:5">
      <c r="A321" s="3">
        <v>46181</v>
      </c>
      <c r="B321" t="s">
        <v>174</v>
      </c>
      <c r="C321" t="s">
        <v>175</v>
      </c>
      <c r="D321" t="s">
        <v>37</v>
      </c>
      <c r="E321" t="s">
        <v>185</v>
      </c>
    </row>
    <row r="322" spans="1:5">
      <c r="A322" s="3">
        <v>46182</v>
      </c>
      <c r="B322" t="s">
        <v>10</v>
      </c>
      <c r="C322" t="s">
        <v>11</v>
      </c>
      <c r="D322" t="s">
        <v>13</v>
      </c>
      <c r="E322" t="s">
        <v>184</v>
      </c>
    </row>
    <row r="323" spans="1:5">
      <c r="A323" s="3">
        <v>46182</v>
      </c>
      <c r="B323" t="s">
        <v>17</v>
      </c>
      <c r="C323" t="s">
        <v>18</v>
      </c>
      <c r="D323" t="s">
        <v>20</v>
      </c>
      <c r="E323" t="s">
        <v>184</v>
      </c>
    </row>
    <row r="324" spans="1:5">
      <c r="A324" s="3">
        <v>46182</v>
      </c>
      <c r="B324" t="s">
        <v>23</v>
      </c>
      <c r="C324" t="s">
        <v>24</v>
      </c>
      <c r="D324" t="s">
        <v>25</v>
      </c>
      <c r="E324" t="s">
        <v>184</v>
      </c>
    </row>
    <row r="325" spans="1:5">
      <c r="A325" s="3">
        <v>46182</v>
      </c>
      <c r="B325" t="s">
        <v>29</v>
      </c>
      <c r="C325" t="s">
        <v>30</v>
      </c>
      <c r="D325" t="s">
        <v>31</v>
      </c>
      <c r="E325" t="s">
        <v>184</v>
      </c>
    </row>
    <row r="326" spans="1:5">
      <c r="A326" s="3">
        <v>46182</v>
      </c>
      <c r="B326" t="s">
        <v>35</v>
      </c>
      <c r="C326" t="s">
        <v>36</v>
      </c>
      <c r="D326" t="s">
        <v>37</v>
      </c>
      <c r="E326" t="s">
        <v>184</v>
      </c>
    </row>
    <row r="327" spans="1:5">
      <c r="A327" s="3">
        <v>46182</v>
      </c>
      <c r="B327" t="s">
        <v>40</v>
      </c>
      <c r="C327" t="s">
        <v>41</v>
      </c>
      <c r="D327" t="s">
        <v>13</v>
      </c>
      <c r="E327" t="s">
        <v>184</v>
      </c>
    </row>
    <row r="328" spans="1:5">
      <c r="A328" s="3">
        <v>46182</v>
      </c>
      <c r="B328" t="s">
        <v>44</v>
      </c>
      <c r="C328" t="s">
        <v>45</v>
      </c>
      <c r="D328" t="s">
        <v>25</v>
      </c>
      <c r="E328" t="s">
        <v>184</v>
      </c>
    </row>
    <row r="329" spans="1:5">
      <c r="A329" s="3">
        <v>46182</v>
      </c>
      <c r="B329" t="s">
        <v>49</v>
      </c>
      <c r="C329" t="s">
        <v>50</v>
      </c>
      <c r="D329" t="s">
        <v>31</v>
      </c>
      <c r="E329" t="s">
        <v>184</v>
      </c>
    </row>
    <row r="330" spans="1:5">
      <c r="A330" s="3">
        <v>46182</v>
      </c>
      <c r="B330" t="s">
        <v>54</v>
      </c>
      <c r="C330" t="s">
        <v>55</v>
      </c>
      <c r="D330" t="s">
        <v>20</v>
      </c>
      <c r="E330" t="s">
        <v>184</v>
      </c>
    </row>
    <row r="331" spans="1:5">
      <c r="A331" s="3">
        <v>46182</v>
      </c>
      <c r="B331" t="s">
        <v>58</v>
      </c>
      <c r="C331" t="s">
        <v>59</v>
      </c>
      <c r="D331" t="s">
        <v>37</v>
      </c>
      <c r="E331" t="s">
        <v>184</v>
      </c>
    </row>
    <row r="332" spans="1:5">
      <c r="A332" s="3">
        <v>46182</v>
      </c>
      <c r="B332" t="s">
        <v>63</v>
      </c>
      <c r="C332" t="s">
        <v>64</v>
      </c>
      <c r="D332" t="s">
        <v>13</v>
      </c>
      <c r="E332" t="s">
        <v>184</v>
      </c>
    </row>
    <row r="333" spans="1:5">
      <c r="A333" s="3">
        <v>46182</v>
      </c>
      <c r="B333" t="s">
        <v>67</v>
      </c>
      <c r="C333" t="s">
        <v>68</v>
      </c>
      <c r="D333" t="s">
        <v>25</v>
      </c>
      <c r="E333" t="s">
        <v>185</v>
      </c>
    </row>
    <row r="334" spans="1:5">
      <c r="A334" s="3">
        <v>46182</v>
      </c>
      <c r="B334" t="s">
        <v>71</v>
      </c>
      <c r="C334" t="s">
        <v>72</v>
      </c>
      <c r="D334" t="s">
        <v>31</v>
      </c>
      <c r="E334" t="s">
        <v>184</v>
      </c>
    </row>
    <row r="335" spans="1:5">
      <c r="A335" s="3">
        <v>46182</v>
      </c>
      <c r="B335" t="s">
        <v>75</v>
      </c>
      <c r="C335" t="s">
        <v>76</v>
      </c>
      <c r="D335" t="s">
        <v>20</v>
      </c>
      <c r="E335" t="s">
        <v>185</v>
      </c>
    </row>
    <row r="336" spans="1:5">
      <c r="A336" s="3">
        <v>46182</v>
      </c>
      <c r="B336" t="s">
        <v>79</v>
      </c>
      <c r="C336" t="s">
        <v>80</v>
      </c>
      <c r="D336" t="s">
        <v>37</v>
      </c>
      <c r="E336" t="s">
        <v>184</v>
      </c>
    </row>
    <row r="337" spans="1:5">
      <c r="A337" s="3">
        <v>46182</v>
      </c>
      <c r="B337" t="s">
        <v>82</v>
      </c>
      <c r="C337" t="s">
        <v>83</v>
      </c>
      <c r="D337" t="s">
        <v>13</v>
      </c>
      <c r="E337" t="s">
        <v>184</v>
      </c>
    </row>
    <row r="338" spans="1:5">
      <c r="A338" s="3">
        <v>46182</v>
      </c>
      <c r="B338" t="s">
        <v>87</v>
      </c>
      <c r="C338" t="s">
        <v>88</v>
      </c>
      <c r="D338" t="s">
        <v>25</v>
      </c>
      <c r="E338" t="s">
        <v>184</v>
      </c>
    </row>
    <row r="339" spans="1:5">
      <c r="A339" s="3">
        <v>46182</v>
      </c>
      <c r="B339" t="s">
        <v>91</v>
      </c>
      <c r="C339" t="s">
        <v>92</v>
      </c>
      <c r="D339" t="s">
        <v>31</v>
      </c>
      <c r="E339" t="s">
        <v>185</v>
      </c>
    </row>
    <row r="340" spans="1:5">
      <c r="A340" s="3">
        <v>46182</v>
      </c>
      <c r="B340" t="s">
        <v>95</v>
      </c>
      <c r="C340" t="s">
        <v>96</v>
      </c>
      <c r="D340" t="s">
        <v>20</v>
      </c>
      <c r="E340" t="s">
        <v>184</v>
      </c>
    </row>
    <row r="341" spans="1:5">
      <c r="A341" s="3">
        <v>46182</v>
      </c>
      <c r="B341" t="s">
        <v>100</v>
      </c>
      <c r="C341" t="s">
        <v>101</v>
      </c>
      <c r="D341" t="s">
        <v>37</v>
      </c>
      <c r="E341" t="s">
        <v>184</v>
      </c>
    </row>
    <row r="342" spans="1:5">
      <c r="A342" s="3">
        <v>46182</v>
      </c>
      <c r="B342" t="s">
        <v>104</v>
      </c>
      <c r="C342" t="s">
        <v>105</v>
      </c>
      <c r="D342" t="s">
        <v>13</v>
      </c>
      <c r="E342" t="s">
        <v>184</v>
      </c>
    </row>
    <row r="343" spans="1:5">
      <c r="A343" s="3">
        <v>46182</v>
      </c>
      <c r="B343" t="s">
        <v>109</v>
      </c>
      <c r="C343" t="s">
        <v>110</v>
      </c>
      <c r="D343" t="s">
        <v>25</v>
      </c>
      <c r="E343" t="s">
        <v>184</v>
      </c>
    </row>
    <row r="344" spans="1:5">
      <c r="A344" s="3">
        <v>46182</v>
      </c>
      <c r="B344" t="s">
        <v>114</v>
      </c>
      <c r="C344" t="s">
        <v>115</v>
      </c>
      <c r="D344" t="s">
        <v>31</v>
      </c>
      <c r="E344" t="s">
        <v>184</v>
      </c>
    </row>
    <row r="345" spans="1:5">
      <c r="A345" s="3">
        <v>46182</v>
      </c>
      <c r="B345" t="s">
        <v>117</v>
      </c>
      <c r="C345" t="s">
        <v>118</v>
      </c>
      <c r="D345" t="s">
        <v>20</v>
      </c>
      <c r="E345" t="s">
        <v>186</v>
      </c>
    </row>
    <row r="346" spans="1:5">
      <c r="A346" s="3">
        <v>46182</v>
      </c>
      <c r="B346" t="s">
        <v>121</v>
      </c>
      <c r="C346" t="s">
        <v>122</v>
      </c>
      <c r="D346" t="s">
        <v>37</v>
      </c>
      <c r="E346" t="s">
        <v>184</v>
      </c>
    </row>
    <row r="347" spans="1:5">
      <c r="A347" s="3">
        <v>46182</v>
      </c>
      <c r="B347" t="s">
        <v>125</v>
      </c>
      <c r="C347" t="s">
        <v>126</v>
      </c>
      <c r="D347" t="s">
        <v>13</v>
      </c>
      <c r="E347" t="s">
        <v>184</v>
      </c>
    </row>
    <row r="348" spans="1:5">
      <c r="A348" s="3">
        <v>46182</v>
      </c>
      <c r="B348" t="s">
        <v>128</v>
      </c>
      <c r="C348" t="s">
        <v>129</v>
      </c>
      <c r="D348" t="s">
        <v>25</v>
      </c>
      <c r="E348" t="s">
        <v>184</v>
      </c>
    </row>
    <row r="349" spans="1:5">
      <c r="A349" s="3">
        <v>46182</v>
      </c>
      <c r="B349" t="s">
        <v>131</v>
      </c>
      <c r="C349" t="s">
        <v>132</v>
      </c>
      <c r="D349" t="s">
        <v>31</v>
      </c>
      <c r="E349" t="s">
        <v>186</v>
      </c>
    </row>
    <row r="350" spans="1:5">
      <c r="A350" s="3">
        <v>46182</v>
      </c>
      <c r="B350" t="s">
        <v>135</v>
      </c>
      <c r="C350" t="s">
        <v>136</v>
      </c>
      <c r="D350" t="s">
        <v>20</v>
      </c>
      <c r="E350" t="s">
        <v>184</v>
      </c>
    </row>
    <row r="351" spans="1:5">
      <c r="A351" s="3">
        <v>46182</v>
      </c>
      <c r="B351" t="s">
        <v>138</v>
      </c>
      <c r="C351" t="s">
        <v>139</v>
      </c>
      <c r="D351" t="s">
        <v>37</v>
      </c>
      <c r="E351" t="s">
        <v>184</v>
      </c>
    </row>
    <row r="352" spans="1:5">
      <c r="A352" s="3">
        <v>46182</v>
      </c>
      <c r="B352" t="s">
        <v>142</v>
      </c>
      <c r="C352" t="s">
        <v>143</v>
      </c>
      <c r="D352" t="s">
        <v>13</v>
      </c>
      <c r="E352" t="s">
        <v>184</v>
      </c>
    </row>
    <row r="353" spans="1:5">
      <c r="A353" s="3">
        <v>46182</v>
      </c>
      <c r="B353" t="s">
        <v>146</v>
      </c>
      <c r="C353" t="s">
        <v>147</v>
      </c>
      <c r="D353" t="s">
        <v>25</v>
      </c>
      <c r="E353" t="s">
        <v>184</v>
      </c>
    </row>
    <row r="354" spans="1:5">
      <c r="A354" s="3">
        <v>46182</v>
      </c>
      <c r="B354" t="s">
        <v>149</v>
      </c>
      <c r="C354" t="s">
        <v>150</v>
      </c>
      <c r="D354" t="s">
        <v>31</v>
      </c>
      <c r="E354" t="s">
        <v>184</v>
      </c>
    </row>
    <row r="355" spans="1:5">
      <c r="A355" s="3">
        <v>46182</v>
      </c>
      <c r="B355" t="s">
        <v>152</v>
      </c>
      <c r="C355" t="s">
        <v>153</v>
      </c>
      <c r="D355" t="s">
        <v>20</v>
      </c>
      <c r="E355" t="s">
        <v>184</v>
      </c>
    </row>
    <row r="356" spans="1:5">
      <c r="A356" s="3">
        <v>46182</v>
      </c>
      <c r="B356" t="s">
        <v>156</v>
      </c>
      <c r="C356" t="s">
        <v>157</v>
      </c>
      <c r="D356" t="s">
        <v>37</v>
      </c>
      <c r="E356" t="s">
        <v>186</v>
      </c>
    </row>
    <row r="357" spans="1:5">
      <c r="A357" s="3">
        <v>46182</v>
      </c>
      <c r="B357" t="s">
        <v>160</v>
      </c>
      <c r="C357" t="s">
        <v>161</v>
      </c>
      <c r="D357" t="s">
        <v>13</v>
      </c>
      <c r="E357" t="s">
        <v>184</v>
      </c>
    </row>
    <row r="358" spans="1:5">
      <c r="A358" s="3">
        <v>46182</v>
      </c>
      <c r="B358" t="s">
        <v>163</v>
      </c>
      <c r="C358" t="s">
        <v>164</v>
      </c>
      <c r="D358" t="s">
        <v>25</v>
      </c>
      <c r="E358" t="s">
        <v>186</v>
      </c>
    </row>
    <row r="359" spans="1:5">
      <c r="A359" s="3">
        <v>46182</v>
      </c>
      <c r="B359" t="s">
        <v>166</v>
      </c>
      <c r="C359" t="s">
        <v>167</v>
      </c>
      <c r="D359" t="s">
        <v>31</v>
      </c>
      <c r="E359" t="s">
        <v>184</v>
      </c>
    </row>
    <row r="360" spans="1:5">
      <c r="A360" s="3">
        <v>46182</v>
      </c>
      <c r="B360" t="s">
        <v>170</v>
      </c>
      <c r="C360" t="s">
        <v>171</v>
      </c>
      <c r="D360" t="s">
        <v>20</v>
      </c>
      <c r="E360" t="s">
        <v>184</v>
      </c>
    </row>
    <row r="361" spans="1:5">
      <c r="A361" s="3">
        <v>46182</v>
      </c>
      <c r="B361" t="s">
        <v>174</v>
      </c>
      <c r="C361" t="s">
        <v>175</v>
      </c>
      <c r="D361" t="s">
        <v>37</v>
      </c>
      <c r="E361" t="s">
        <v>184</v>
      </c>
    </row>
    <row r="362" spans="1:5">
      <c r="A362" s="3">
        <v>46183</v>
      </c>
      <c r="B362" t="s">
        <v>10</v>
      </c>
      <c r="C362" t="s">
        <v>11</v>
      </c>
      <c r="D362" t="s">
        <v>13</v>
      </c>
      <c r="E362" t="s">
        <v>186</v>
      </c>
    </row>
    <row r="363" spans="1:5">
      <c r="A363" s="3">
        <v>46183</v>
      </c>
      <c r="B363" t="s">
        <v>17</v>
      </c>
      <c r="C363" t="s">
        <v>18</v>
      </c>
      <c r="D363" t="s">
        <v>20</v>
      </c>
      <c r="E363" t="s">
        <v>184</v>
      </c>
    </row>
    <row r="364" spans="1:5">
      <c r="A364" s="3">
        <v>46183</v>
      </c>
      <c r="B364" t="s">
        <v>23</v>
      </c>
      <c r="C364" t="s">
        <v>24</v>
      </c>
      <c r="D364" t="s">
        <v>25</v>
      </c>
      <c r="E364" t="s">
        <v>184</v>
      </c>
    </row>
    <row r="365" spans="1:5">
      <c r="A365" s="3">
        <v>46183</v>
      </c>
      <c r="B365" t="s">
        <v>29</v>
      </c>
      <c r="C365" t="s">
        <v>30</v>
      </c>
      <c r="D365" t="s">
        <v>31</v>
      </c>
      <c r="E365" t="s">
        <v>184</v>
      </c>
    </row>
    <row r="366" spans="1:5">
      <c r="A366" s="3">
        <v>46183</v>
      </c>
      <c r="B366" t="s">
        <v>35</v>
      </c>
      <c r="C366" t="s">
        <v>36</v>
      </c>
      <c r="D366" t="s">
        <v>37</v>
      </c>
      <c r="E366" t="s">
        <v>184</v>
      </c>
    </row>
    <row r="367" spans="1:5">
      <c r="A367" s="3">
        <v>46183</v>
      </c>
      <c r="B367" t="s">
        <v>40</v>
      </c>
      <c r="C367" t="s">
        <v>41</v>
      </c>
      <c r="D367" t="s">
        <v>13</v>
      </c>
      <c r="E367" t="s">
        <v>184</v>
      </c>
    </row>
    <row r="368" spans="1:5">
      <c r="A368" s="3">
        <v>46183</v>
      </c>
      <c r="B368" t="s">
        <v>44</v>
      </c>
      <c r="C368" t="s">
        <v>45</v>
      </c>
      <c r="D368" t="s">
        <v>25</v>
      </c>
      <c r="E368" t="s">
        <v>184</v>
      </c>
    </row>
    <row r="369" spans="1:5">
      <c r="A369" s="3">
        <v>46183</v>
      </c>
      <c r="B369" t="s">
        <v>49</v>
      </c>
      <c r="C369" t="s">
        <v>50</v>
      </c>
      <c r="D369" t="s">
        <v>31</v>
      </c>
      <c r="E369" t="s">
        <v>184</v>
      </c>
    </row>
    <row r="370" spans="1:5">
      <c r="A370" s="3">
        <v>46183</v>
      </c>
      <c r="B370" t="s">
        <v>54</v>
      </c>
      <c r="C370" t="s">
        <v>55</v>
      </c>
      <c r="D370" t="s">
        <v>20</v>
      </c>
      <c r="E370" t="s">
        <v>185</v>
      </c>
    </row>
    <row r="371" spans="1:5">
      <c r="A371" s="3">
        <v>46183</v>
      </c>
      <c r="B371" t="s">
        <v>58</v>
      </c>
      <c r="C371" t="s">
        <v>59</v>
      </c>
      <c r="D371" t="s">
        <v>37</v>
      </c>
      <c r="E371" t="s">
        <v>184</v>
      </c>
    </row>
    <row r="372" spans="1:5">
      <c r="A372" s="3">
        <v>46183</v>
      </c>
      <c r="B372" t="s">
        <v>63</v>
      </c>
      <c r="C372" t="s">
        <v>64</v>
      </c>
      <c r="D372" t="s">
        <v>13</v>
      </c>
      <c r="E372" t="s">
        <v>184</v>
      </c>
    </row>
    <row r="373" spans="1:5">
      <c r="A373" s="3">
        <v>46183</v>
      </c>
      <c r="B373" t="s">
        <v>67</v>
      </c>
      <c r="C373" t="s">
        <v>68</v>
      </c>
      <c r="D373" t="s">
        <v>25</v>
      </c>
      <c r="E373" t="s">
        <v>184</v>
      </c>
    </row>
    <row r="374" spans="1:5">
      <c r="A374" s="3">
        <v>46183</v>
      </c>
      <c r="B374" t="s">
        <v>71</v>
      </c>
      <c r="C374" t="s">
        <v>72</v>
      </c>
      <c r="D374" t="s">
        <v>31</v>
      </c>
      <c r="E374" t="s">
        <v>185</v>
      </c>
    </row>
    <row r="375" spans="1:5">
      <c r="A375" s="3">
        <v>46183</v>
      </c>
      <c r="B375" t="s">
        <v>75</v>
      </c>
      <c r="C375" t="s">
        <v>76</v>
      </c>
      <c r="D375" t="s">
        <v>20</v>
      </c>
      <c r="E375" t="s">
        <v>184</v>
      </c>
    </row>
    <row r="376" spans="1:5">
      <c r="A376" s="3">
        <v>46183</v>
      </c>
      <c r="B376" t="s">
        <v>79</v>
      </c>
      <c r="C376" t="s">
        <v>80</v>
      </c>
      <c r="D376" t="s">
        <v>37</v>
      </c>
      <c r="E376" t="s">
        <v>184</v>
      </c>
    </row>
    <row r="377" spans="1:5">
      <c r="A377" s="3">
        <v>46183</v>
      </c>
      <c r="B377" t="s">
        <v>82</v>
      </c>
      <c r="C377" t="s">
        <v>83</v>
      </c>
      <c r="D377" t="s">
        <v>13</v>
      </c>
      <c r="E377" t="s">
        <v>186</v>
      </c>
    </row>
    <row r="378" spans="1:5">
      <c r="A378" s="3">
        <v>46183</v>
      </c>
      <c r="B378" t="s">
        <v>87</v>
      </c>
      <c r="C378" t="s">
        <v>88</v>
      </c>
      <c r="D378" t="s">
        <v>25</v>
      </c>
      <c r="E378" t="s">
        <v>184</v>
      </c>
    </row>
    <row r="379" spans="1:5">
      <c r="A379" s="3">
        <v>46183</v>
      </c>
      <c r="B379" t="s">
        <v>91</v>
      </c>
      <c r="C379" t="s">
        <v>92</v>
      </c>
      <c r="D379" t="s">
        <v>31</v>
      </c>
      <c r="E379" t="s">
        <v>184</v>
      </c>
    </row>
    <row r="380" spans="1:5">
      <c r="A380" s="3">
        <v>46183</v>
      </c>
      <c r="B380" t="s">
        <v>95</v>
      </c>
      <c r="C380" t="s">
        <v>96</v>
      </c>
      <c r="D380" t="s">
        <v>20</v>
      </c>
      <c r="E380" t="s">
        <v>184</v>
      </c>
    </row>
    <row r="381" spans="1:5">
      <c r="A381" s="3">
        <v>46183</v>
      </c>
      <c r="B381" t="s">
        <v>100</v>
      </c>
      <c r="C381" t="s">
        <v>101</v>
      </c>
      <c r="D381" t="s">
        <v>37</v>
      </c>
      <c r="E381" t="s">
        <v>184</v>
      </c>
    </row>
    <row r="382" spans="1:5">
      <c r="A382" s="3">
        <v>46183</v>
      </c>
      <c r="B382" t="s">
        <v>104</v>
      </c>
      <c r="C382" t="s">
        <v>105</v>
      </c>
      <c r="D382" t="s">
        <v>13</v>
      </c>
      <c r="E382" t="s">
        <v>184</v>
      </c>
    </row>
    <row r="383" spans="1:5">
      <c r="A383" s="3">
        <v>46183</v>
      </c>
      <c r="B383" t="s">
        <v>109</v>
      </c>
      <c r="C383" t="s">
        <v>110</v>
      </c>
      <c r="D383" t="s">
        <v>25</v>
      </c>
      <c r="E383" t="s">
        <v>186</v>
      </c>
    </row>
    <row r="384" spans="1:5">
      <c r="A384" s="3">
        <v>46183</v>
      </c>
      <c r="B384" t="s">
        <v>114</v>
      </c>
      <c r="C384" t="s">
        <v>115</v>
      </c>
      <c r="D384" t="s">
        <v>31</v>
      </c>
      <c r="E384" t="s">
        <v>184</v>
      </c>
    </row>
    <row r="385" spans="1:5">
      <c r="A385" s="3">
        <v>46183</v>
      </c>
      <c r="B385" t="s">
        <v>117</v>
      </c>
      <c r="C385" t="s">
        <v>118</v>
      </c>
      <c r="D385" t="s">
        <v>20</v>
      </c>
      <c r="E385" t="s">
        <v>184</v>
      </c>
    </row>
    <row r="386" spans="1:5">
      <c r="A386" s="3">
        <v>46183</v>
      </c>
      <c r="B386" t="s">
        <v>121</v>
      </c>
      <c r="C386" t="s">
        <v>122</v>
      </c>
      <c r="D386" t="s">
        <v>37</v>
      </c>
      <c r="E386" t="s">
        <v>184</v>
      </c>
    </row>
    <row r="387" spans="1:5">
      <c r="A387" s="3">
        <v>46183</v>
      </c>
      <c r="B387" t="s">
        <v>125</v>
      </c>
      <c r="C387" t="s">
        <v>126</v>
      </c>
      <c r="D387" t="s">
        <v>13</v>
      </c>
      <c r="E387" t="s">
        <v>184</v>
      </c>
    </row>
    <row r="388" spans="1:5">
      <c r="A388" s="3">
        <v>46183</v>
      </c>
      <c r="B388" t="s">
        <v>128</v>
      </c>
      <c r="C388" t="s">
        <v>129</v>
      </c>
      <c r="D388" t="s">
        <v>25</v>
      </c>
      <c r="E388" t="s">
        <v>184</v>
      </c>
    </row>
    <row r="389" spans="1:5">
      <c r="A389" s="3">
        <v>46183</v>
      </c>
      <c r="B389" t="s">
        <v>131</v>
      </c>
      <c r="C389" t="s">
        <v>132</v>
      </c>
      <c r="D389" t="s">
        <v>31</v>
      </c>
      <c r="E389" t="s">
        <v>184</v>
      </c>
    </row>
    <row r="390" spans="1:5">
      <c r="A390" s="3">
        <v>46183</v>
      </c>
      <c r="B390" t="s">
        <v>135</v>
      </c>
      <c r="C390" t="s">
        <v>136</v>
      </c>
      <c r="D390" t="s">
        <v>20</v>
      </c>
      <c r="E390" t="s">
        <v>184</v>
      </c>
    </row>
    <row r="391" spans="1:5">
      <c r="A391" s="3">
        <v>46183</v>
      </c>
      <c r="B391" t="s">
        <v>138</v>
      </c>
      <c r="C391" t="s">
        <v>139</v>
      </c>
      <c r="D391" t="s">
        <v>37</v>
      </c>
      <c r="E391" t="s">
        <v>186</v>
      </c>
    </row>
    <row r="392" spans="1:5">
      <c r="A392" s="3">
        <v>46183</v>
      </c>
      <c r="B392" t="s">
        <v>142</v>
      </c>
      <c r="C392" t="s">
        <v>143</v>
      </c>
      <c r="D392" t="s">
        <v>13</v>
      </c>
      <c r="E392" t="s">
        <v>184</v>
      </c>
    </row>
    <row r="393" spans="1:5">
      <c r="A393" s="3">
        <v>46183</v>
      </c>
      <c r="B393" t="s">
        <v>146</v>
      </c>
      <c r="C393" t="s">
        <v>147</v>
      </c>
      <c r="D393" t="s">
        <v>25</v>
      </c>
      <c r="E393" t="s">
        <v>184</v>
      </c>
    </row>
    <row r="394" spans="1:5">
      <c r="A394" s="3">
        <v>46183</v>
      </c>
      <c r="B394" t="s">
        <v>149</v>
      </c>
      <c r="C394" t="s">
        <v>150</v>
      </c>
      <c r="D394" t="s">
        <v>31</v>
      </c>
      <c r="E394" t="s">
        <v>186</v>
      </c>
    </row>
    <row r="395" spans="1:5">
      <c r="A395" s="3">
        <v>46183</v>
      </c>
      <c r="B395" t="s">
        <v>152</v>
      </c>
      <c r="C395" t="s">
        <v>153</v>
      </c>
      <c r="D395" t="s">
        <v>20</v>
      </c>
      <c r="E395" t="s">
        <v>184</v>
      </c>
    </row>
    <row r="396" spans="1:5">
      <c r="A396" s="3">
        <v>46183</v>
      </c>
      <c r="B396" t="s">
        <v>156</v>
      </c>
      <c r="C396" t="s">
        <v>157</v>
      </c>
      <c r="D396" t="s">
        <v>37</v>
      </c>
      <c r="E396" t="s">
        <v>184</v>
      </c>
    </row>
    <row r="397" spans="1:5">
      <c r="A397" s="3">
        <v>46183</v>
      </c>
      <c r="B397" t="s">
        <v>160</v>
      </c>
      <c r="C397" t="s">
        <v>161</v>
      </c>
      <c r="D397" t="s">
        <v>13</v>
      </c>
      <c r="E397" t="s">
        <v>184</v>
      </c>
    </row>
    <row r="398" spans="1:5">
      <c r="A398" s="3">
        <v>46183</v>
      </c>
      <c r="B398" t="s">
        <v>163</v>
      </c>
      <c r="C398" t="s">
        <v>164</v>
      </c>
      <c r="D398" t="s">
        <v>25</v>
      </c>
      <c r="E398" t="s">
        <v>184</v>
      </c>
    </row>
    <row r="399" spans="1:5">
      <c r="A399" s="3">
        <v>46183</v>
      </c>
      <c r="B399" t="s">
        <v>166</v>
      </c>
      <c r="C399" t="s">
        <v>167</v>
      </c>
      <c r="D399" t="s">
        <v>31</v>
      </c>
      <c r="E399" t="s">
        <v>184</v>
      </c>
    </row>
    <row r="400" spans="1:5">
      <c r="A400" s="3">
        <v>46183</v>
      </c>
      <c r="B400" t="s">
        <v>170</v>
      </c>
      <c r="C400" t="s">
        <v>171</v>
      </c>
      <c r="D400" t="s">
        <v>20</v>
      </c>
      <c r="E400" t="s">
        <v>184</v>
      </c>
    </row>
    <row r="401" spans="1:5">
      <c r="A401" s="3">
        <v>46183</v>
      </c>
      <c r="B401" t="s">
        <v>174</v>
      </c>
      <c r="C401" t="s">
        <v>175</v>
      </c>
      <c r="D401" t="s">
        <v>37</v>
      </c>
      <c r="E401" t="s">
        <v>184</v>
      </c>
    </row>
    <row r="402" spans="1:5">
      <c r="A402" s="3">
        <v>46184</v>
      </c>
      <c r="B402" t="s">
        <v>10</v>
      </c>
      <c r="C402" t="s">
        <v>11</v>
      </c>
      <c r="D402" t="s">
        <v>13</v>
      </c>
      <c r="E402" t="s">
        <v>184</v>
      </c>
    </row>
    <row r="403" spans="1:5">
      <c r="A403" s="3">
        <v>46184</v>
      </c>
      <c r="B403" t="s">
        <v>17</v>
      </c>
      <c r="C403" t="s">
        <v>18</v>
      </c>
      <c r="D403" t="s">
        <v>20</v>
      </c>
      <c r="E403" t="s">
        <v>184</v>
      </c>
    </row>
    <row r="404" spans="1:5">
      <c r="A404" s="3">
        <v>46184</v>
      </c>
      <c r="B404" t="s">
        <v>23</v>
      </c>
      <c r="C404" t="s">
        <v>24</v>
      </c>
      <c r="D404" t="s">
        <v>25</v>
      </c>
      <c r="E404" t="s">
        <v>184</v>
      </c>
    </row>
    <row r="405" spans="1:5">
      <c r="A405" s="3">
        <v>46184</v>
      </c>
      <c r="B405" t="s">
        <v>29</v>
      </c>
      <c r="C405" t="s">
        <v>30</v>
      </c>
      <c r="D405" t="s">
        <v>31</v>
      </c>
      <c r="E405" t="s">
        <v>184</v>
      </c>
    </row>
    <row r="406" spans="1:5">
      <c r="A406" s="3">
        <v>46184</v>
      </c>
      <c r="B406" t="s">
        <v>35</v>
      </c>
      <c r="C406" t="s">
        <v>36</v>
      </c>
      <c r="D406" t="s">
        <v>37</v>
      </c>
      <c r="E406" t="s">
        <v>184</v>
      </c>
    </row>
    <row r="407" spans="1:5">
      <c r="A407" s="3">
        <v>46184</v>
      </c>
      <c r="B407" t="s">
        <v>40</v>
      </c>
      <c r="C407" t="s">
        <v>41</v>
      </c>
      <c r="D407" t="s">
        <v>13</v>
      </c>
      <c r="E407" t="s">
        <v>184</v>
      </c>
    </row>
    <row r="408" spans="1:5">
      <c r="A408" s="3">
        <v>46184</v>
      </c>
      <c r="B408" t="s">
        <v>44</v>
      </c>
      <c r="C408" t="s">
        <v>45</v>
      </c>
      <c r="D408" t="s">
        <v>25</v>
      </c>
      <c r="E408" t="s">
        <v>184</v>
      </c>
    </row>
    <row r="409" spans="1:5">
      <c r="A409" s="3">
        <v>46184</v>
      </c>
      <c r="B409" t="s">
        <v>49</v>
      </c>
      <c r="C409" t="s">
        <v>50</v>
      </c>
      <c r="D409" t="s">
        <v>31</v>
      </c>
      <c r="E409" t="s">
        <v>184</v>
      </c>
    </row>
    <row r="410" spans="1:5">
      <c r="A410" s="3">
        <v>46184</v>
      </c>
      <c r="B410" t="s">
        <v>54</v>
      </c>
      <c r="C410" t="s">
        <v>55</v>
      </c>
      <c r="D410" t="s">
        <v>20</v>
      </c>
      <c r="E410" t="s">
        <v>184</v>
      </c>
    </row>
    <row r="411" spans="1:5">
      <c r="A411" s="3">
        <v>46184</v>
      </c>
      <c r="B411" t="s">
        <v>58</v>
      </c>
      <c r="C411" t="s">
        <v>59</v>
      </c>
      <c r="D411" t="s">
        <v>37</v>
      </c>
      <c r="E411" t="s">
        <v>184</v>
      </c>
    </row>
    <row r="412" spans="1:5">
      <c r="A412" s="3">
        <v>46184</v>
      </c>
      <c r="B412" t="s">
        <v>63</v>
      </c>
      <c r="C412" t="s">
        <v>64</v>
      </c>
      <c r="D412" t="s">
        <v>13</v>
      </c>
      <c r="E412" t="s">
        <v>184</v>
      </c>
    </row>
    <row r="413" spans="1:5">
      <c r="A413" s="3">
        <v>46184</v>
      </c>
      <c r="B413" t="s">
        <v>67</v>
      </c>
      <c r="C413" t="s">
        <v>68</v>
      </c>
      <c r="D413" t="s">
        <v>25</v>
      </c>
      <c r="E413" t="s">
        <v>184</v>
      </c>
    </row>
    <row r="414" spans="1:5">
      <c r="A414" s="3">
        <v>46184</v>
      </c>
      <c r="B414" t="s">
        <v>71</v>
      </c>
      <c r="C414" t="s">
        <v>72</v>
      </c>
      <c r="D414" t="s">
        <v>31</v>
      </c>
      <c r="E414" t="s">
        <v>184</v>
      </c>
    </row>
    <row r="415" spans="1:5">
      <c r="A415" s="3">
        <v>46184</v>
      </c>
      <c r="B415" t="s">
        <v>75</v>
      </c>
      <c r="C415" t="s">
        <v>76</v>
      </c>
      <c r="D415" t="s">
        <v>20</v>
      </c>
      <c r="E415" t="s">
        <v>184</v>
      </c>
    </row>
    <row r="416" spans="1:5">
      <c r="A416" s="3">
        <v>46184</v>
      </c>
      <c r="B416" t="s">
        <v>79</v>
      </c>
      <c r="C416" t="s">
        <v>80</v>
      </c>
      <c r="D416" t="s">
        <v>37</v>
      </c>
      <c r="E416" t="s">
        <v>184</v>
      </c>
    </row>
    <row r="417" spans="1:5">
      <c r="A417" s="3">
        <v>46184</v>
      </c>
      <c r="B417" t="s">
        <v>82</v>
      </c>
      <c r="C417" t="s">
        <v>83</v>
      </c>
      <c r="D417" t="s">
        <v>13</v>
      </c>
      <c r="E417" t="s">
        <v>184</v>
      </c>
    </row>
    <row r="418" spans="1:5">
      <c r="A418" s="3">
        <v>46184</v>
      </c>
      <c r="B418" t="s">
        <v>87</v>
      </c>
      <c r="C418" t="s">
        <v>88</v>
      </c>
      <c r="D418" t="s">
        <v>25</v>
      </c>
      <c r="E418" t="s">
        <v>184</v>
      </c>
    </row>
    <row r="419" spans="1:5">
      <c r="A419" s="3">
        <v>46184</v>
      </c>
      <c r="B419" t="s">
        <v>91</v>
      </c>
      <c r="C419" t="s">
        <v>92</v>
      </c>
      <c r="D419" t="s">
        <v>31</v>
      </c>
      <c r="E419" t="s">
        <v>184</v>
      </c>
    </row>
    <row r="420" spans="1:5">
      <c r="A420" s="3">
        <v>46184</v>
      </c>
      <c r="B420" t="s">
        <v>95</v>
      </c>
      <c r="C420" t="s">
        <v>96</v>
      </c>
      <c r="D420" t="s">
        <v>20</v>
      </c>
      <c r="E420" t="s">
        <v>184</v>
      </c>
    </row>
    <row r="421" spans="1:5">
      <c r="A421" s="3">
        <v>46184</v>
      </c>
      <c r="B421" t="s">
        <v>100</v>
      </c>
      <c r="C421" t="s">
        <v>101</v>
      </c>
      <c r="D421" t="s">
        <v>37</v>
      </c>
      <c r="E421" t="s">
        <v>184</v>
      </c>
    </row>
    <row r="422" spans="1:5">
      <c r="A422" s="3">
        <v>46184</v>
      </c>
      <c r="B422" t="s">
        <v>104</v>
      </c>
      <c r="C422" t="s">
        <v>105</v>
      </c>
      <c r="D422" t="s">
        <v>13</v>
      </c>
      <c r="E422" t="s">
        <v>184</v>
      </c>
    </row>
    <row r="423" spans="1:5">
      <c r="A423" s="3">
        <v>46184</v>
      </c>
      <c r="B423" t="s">
        <v>109</v>
      </c>
      <c r="C423" t="s">
        <v>110</v>
      </c>
      <c r="D423" t="s">
        <v>25</v>
      </c>
      <c r="E423" t="s">
        <v>186</v>
      </c>
    </row>
    <row r="424" spans="1:5">
      <c r="A424" s="3">
        <v>46184</v>
      </c>
      <c r="B424" t="s">
        <v>114</v>
      </c>
      <c r="C424" t="s">
        <v>115</v>
      </c>
      <c r="D424" t="s">
        <v>31</v>
      </c>
      <c r="E424" t="s">
        <v>184</v>
      </c>
    </row>
    <row r="425" spans="1:5">
      <c r="A425" s="3">
        <v>46184</v>
      </c>
      <c r="B425" t="s">
        <v>117</v>
      </c>
      <c r="C425" t="s">
        <v>118</v>
      </c>
      <c r="D425" t="s">
        <v>20</v>
      </c>
      <c r="E425" t="s">
        <v>184</v>
      </c>
    </row>
    <row r="426" spans="1:5">
      <c r="A426" s="3">
        <v>46184</v>
      </c>
      <c r="B426" t="s">
        <v>121</v>
      </c>
      <c r="C426" t="s">
        <v>122</v>
      </c>
      <c r="D426" t="s">
        <v>37</v>
      </c>
      <c r="E426" t="s">
        <v>184</v>
      </c>
    </row>
    <row r="427" spans="1:5">
      <c r="A427" s="3">
        <v>46184</v>
      </c>
      <c r="B427" t="s">
        <v>125</v>
      </c>
      <c r="C427" t="s">
        <v>126</v>
      </c>
      <c r="D427" t="s">
        <v>13</v>
      </c>
      <c r="E427" t="s">
        <v>184</v>
      </c>
    </row>
    <row r="428" spans="1:5">
      <c r="A428" s="3">
        <v>46184</v>
      </c>
      <c r="B428" t="s">
        <v>128</v>
      </c>
      <c r="C428" t="s">
        <v>129</v>
      </c>
      <c r="D428" t="s">
        <v>25</v>
      </c>
      <c r="E428" t="s">
        <v>184</v>
      </c>
    </row>
    <row r="429" spans="1:5">
      <c r="A429" s="3">
        <v>46184</v>
      </c>
      <c r="B429" t="s">
        <v>131</v>
      </c>
      <c r="C429" t="s">
        <v>132</v>
      </c>
      <c r="D429" t="s">
        <v>31</v>
      </c>
      <c r="E429" t="s">
        <v>184</v>
      </c>
    </row>
    <row r="430" spans="1:5">
      <c r="A430" s="3">
        <v>46184</v>
      </c>
      <c r="B430" t="s">
        <v>135</v>
      </c>
      <c r="C430" t="s">
        <v>136</v>
      </c>
      <c r="D430" t="s">
        <v>20</v>
      </c>
      <c r="E430" t="s">
        <v>184</v>
      </c>
    </row>
    <row r="431" spans="1:5">
      <c r="A431" s="3">
        <v>46184</v>
      </c>
      <c r="B431" t="s">
        <v>138</v>
      </c>
      <c r="C431" t="s">
        <v>139</v>
      </c>
      <c r="D431" t="s">
        <v>37</v>
      </c>
      <c r="E431" t="s">
        <v>184</v>
      </c>
    </row>
    <row r="432" spans="1:5">
      <c r="A432" s="3">
        <v>46184</v>
      </c>
      <c r="B432" t="s">
        <v>142</v>
      </c>
      <c r="C432" t="s">
        <v>143</v>
      </c>
      <c r="D432" t="s">
        <v>13</v>
      </c>
      <c r="E432" t="s">
        <v>184</v>
      </c>
    </row>
    <row r="433" spans="1:5">
      <c r="A433" s="3">
        <v>46184</v>
      </c>
      <c r="B433" t="s">
        <v>146</v>
      </c>
      <c r="C433" t="s">
        <v>147</v>
      </c>
      <c r="D433" t="s">
        <v>25</v>
      </c>
      <c r="E433" t="s">
        <v>186</v>
      </c>
    </row>
    <row r="434" spans="1:5">
      <c r="A434" s="3">
        <v>46184</v>
      </c>
      <c r="B434" t="s">
        <v>149</v>
      </c>
      <c r="C434" t="s">
        <v>150</v>
      </c>
      <c r="D434" t="s">
        <v>31</v>
      </c>
      <c r="E434" t="s">
        <v>184</v>
      </c>
    </row>
    <row r="435" spans="1:5">
      <c r="A435" s="3">
        <v>46184</v>
      </c>
      <c r="B435" t="s">
        <v>152</v>
      </c>
      <c r="C435" t="s">
        <v>153</v>
      </c>
      <c r="D435" t="s">
        <v>20</v>
      </c>
      <c r="E435" t="s">
        <v>184</v>
      </c>
    </row>
    <row r="436" spans="1:5">
      <c r="A436" s="3">
        <v>46184</v>
      </c>
      <c r="B436" t="s">
        <v>156</v>
      </c>
      <c r="C436" t="s">
        <v>157</v>
      </c>
      <c r="D436" t="s">
        <v>37</v>
      </c>
      <c r="E436" t="s">
        <v>184</v>
      </c>
    </row>
    <row r="437" spans="1:5">
      <c r="A437" s="3">
        <v>46184</v>
      </c>
      <c r="B437" t="s">
        <v>160</v>
      </c>
      <c r="C437" t="s">
        <v>161</v>
      </c>
      <c r="D437" t="s">
        <v>13</v>
      </c>
      <c r="E437" t="s">
        <v>184</v>
      </c>
    </row>
    <row r="438" spans="1:5">
      <c r="A438" s="3">
        <v>46184</v>
      </c>
      <c r="B438" t="s">
        <v>163</v>
      </c>
      <c r="C438" t="s">
        <v>164</v>
      </c>
      <c r="D438" t="s">
        <v>25</v>
      </c>
      <c r="E438" t="s">
        <v>184</v>
      </c>
    </row>
    <row r="439" spans="1:5">
      <c r="A439" s="3">
        <v>46184</v>
      </c>
      <c r="B439" t="s">
        <v>166</v>
      </c>
      <c r="C439" t="s">
        <v>167</v>
      </c>
      <c r="D439" t="s">
        <v>31</v>
      </c>
      <c r="E439" t="s">
        <v>186</v>
      </c>
    </row>
    <row r="440" spans="1:5">
      <c r="A440" s="3">
        <v>46184</v>
      </c>
      <c r="B440" t="s">
        <v>170</v>
      </c>
      <c r="C440" t="s">
        <v>171</v>
      </c>
      <c r="D440" t="s">
        <v>20</v>
      </c>
      <c r="E440" t="s">
        <v>184</v>
      </c>
    </row>
    <row r="441" spans="1:5">
      <c r="A441" s="3">
        <v>46184</v>
      </c>
      <c r="B441" t="s">
        <v>174</v>
      </c>
      <c r="C441" t="s">
        <v>175</v>
      </c>
      <c r="D441" t="s">
        <v>37</v>
      </c>
      <c r="E441" t="s">
        <v>184</v>
      </c>
    </row>
    <row r="442" spans="1:5">
      <c r="A442" s="3">
        <v>46185</v>
      </c>
      <c r="B442" t="s">
        <v>10</v>
      </c>
      <c r="C442" t="s">
        <v>11</v>
      </c>
      <c r="D442" t="s">
        <v>13</v>
      </c>
      <c r="E442" t="s">
        <v>184</v>
      </c>
    </row>
    <row r="443" spans="1:5">
      <c r="A443" s="3">
        <v>46185</v>
      </c>
      <c r="B443" t="s">
        <v>17</v>
      </c>
      <c r="C443" t="s">
        <v>18</v>
      </c>
      <c r="D443" t="s">
        <v>20</v>
      </c>
      <c r="E443" t="s">
        <v>184</v>
      </c>
    </row>
    <row r="444" spans="1:5">
      <c r="A444" s="3">
        <v>46185</v>
      </c>
      <c r="B444" t="s">
        <v>23</v>
      </c>
      <c r="C444" t="s">
        <v>24</v>
      </c>
      <c r="D444" t="s">
        <v>25</v>
      </c>
      <c r="E444" t="s">
        <v>184</v>
      </c>
    </row>
    <row r="445" spans="1:5">
      <c r="A445" s="3">
        <v>46185</v>
      </c>
      <c r="B445" t="s">
        <v>29</v>
      </c>
      <c r="C445" t="s">
        <v>30</v>
      </c>
      <c r="D445" t="s">
        <v>31</v>
      </c>
      <c r="E445" t="s">
        <v>184</v>
      </c>
    </row>
    <row r="446" spans="1:5">
      <c r="A446" s="3">
        <v>46185</v>
      </c>
      <c r="B446" t="s">
        <v>35</v>
      </c>
      <c r="C446" t="s">
        <v>36</v>
      </c>
      <c r="D446" t="s">
        <v>37</v>
      </c>
      <c r="E446" t="s">
        <v>184</v>
      </c>
    </row>
    <row r="447" spans="1:5">
      <c r="A447" s="3">
        <v>46185</v>
      </c>
      <c r="B447" t="s">
        <v>40</v>
      </c>
      <c r="C447" t="s">
        <v>41</v>
      </c>
      <c r="D447" t="s">
        <v>13</v>
      </c>
      <c r="E447" t="s">
        <v>185</v>
      </c>
    </row>
    <row r="448" spans="1:5">
      <c r="A448" s="3">
        <v>46185</v>
      </c>
      <c r="B448" t="s">
        <v>44</v>
      </c>
      <c r="C448" t="s">
        <v>45</v>
      </c>
      <c r="D448" t="s">
        <v>25</v>
      </c>
      <c r="E448" t="s">
        <v>184</v>
      </c>
    </row>
    <row r="449" spans="1:5">
      <c r="A449" s="3">
        <v>46185</v>
      </c>
      <c r="B449" t="s">
        <v>49</v>
      </c>
      <c r="C449" t="s">
        <v>50</v>
      </c>
      <c r="D449" t="s">
        <v>31</v>
      </c>
      <c r="E449" t="s">
        <v>185</v>
      </c>
    </row>
    <row r="450" spans="1:5">
      <c r="A450" s="3">
        <v>46185</v>
      </c>
      <c r="B450" t="s">
        <v>54</v>
      </c>
      <c r="C450" t="s">
        <v>55</v>
      </c>
      <c r="D450" t="s">
        <v>20</v>
      </c>
      <c r="E450" t="s">
        <v>186</v>
      </c>
    </row>
    <row r="451" spans="1:5">
      <c r="A451" s="3">
        <v>46185</v>
      </c>
      <c r="B451" t="s">
        <v>58</v>
      </c>
      <c r="C451" t="s">
        <v>59</v>
      </c>
      <c r="D451" t="s">
        <v>37</v>
      </c>
      <c r="E451" t="s">
        <v>184</v>
      </c>
    </row>
    <row r="452" spans="1:5">
      <c r="A452" s="3">
        <v>46185</v>
      </c>
      <c r="B452" t="s">
        <v>63</v>
      </c>
      <c r="C452" t="s">
        <v>64</v>
      </c>
      <c r="D452" t="s">
        <v>13</v>
      </c>
      <c r="E452" t="s">
        <v>184</v>
      </c>
    </row>
    <row r="453" spans="1:5">
      <c r="A453" s="3">
        <v>46185</v>
      </c>
      <c r="B453" t="s">
        <v>67</v>
      </c>
      <c r="C453" t="s">
        <v>68</v>
      </c>
      <c r="D453" t="s">
        <v>25</v>
      </c>
      <c r="E453" t="s">
        <v>184</v>
      </c>
    </row>
    <row r="454" spans="1:5">
      <c r="A454" s="3">
        <v>46185</v>
      </c>
      <c r="B454" t="s">
        <v>71</v>
      </c>
      <c r="C454" t="s">
        <v>72</v>
      </c>
      <c r="D454" t="s">
        <v>31</v>
      </c>
      <c r="E454" t="s">
        <v>184</v>
      </c>
    </row>
    <row r="455" spans="1:5">
      <c r="A455" s="3">
        <v>46185</v>
      </c>
      <c r="B455" t="s">
        <v>75</v>
      </c>
      <c r="C455" t="s">
        <v>76</v>
      </c>
      <c r="D455" t="s">
        <v>20</v>
      </c>
      <c r="E455" t="s">
        <v>184</v>
      </c>
    </row>
    <row r="456" spans="1:5">
      <c r="A456" s="3">
        <v>46185</v>
      </c>
      <c r="B456" t="s">
        <v>79</v>
      </c>
      <c r="C456" t="s">
        <v>80</v>
      </c>
      <c r="D456" t="s">
        <v>37</v>
      </c>
      <c r="E456" t="s">
        <v>184</v>
      </c>
    </row>
    <row r="457" spans="1:5">
      <c r="A457" s="3">
        <v>46185</v>
      </c>
      <c r="B457" t="s">
        <v>82</v>
      </c>
      <c r="C457" t="s">
        <v>83</v>
      </c>
      <c r="D457" t="s">
        <v>13</v>
      </c>
      <c r="E457" t="s">
        <v>184</v>
      </c>
    </row>
    <row r="458" spans="1:5">
      <c r="A458" s="3">
        <v>46185</v>
      </c>
      <c r="B458" t="s">
        <v>87</v>
      </c>
      <c r="C458" t="s">
        <v>88</v>
      </c>
      <c r="D458" t="s">
        <v>25</v>
      </c>
      <c r="E458" t="s">
        <v>184</v>
      </c>
    </row>
    <row r="459" spans="1:5">
      <c r="A459" s="3">
        <v>46185</v>
      </c>
      <c r="B459" t="s">
        <v>91</v>
      </c>
      <c r="C459" t="s">
        <v>92</v>
      </c>
      <c r="D459" t="s">
        <v>31</v>
      </c>
      <c r="E459" t="s">
        <v>184</v>
      </c>
    </row>
    <row r="460" spans="1:5">
      <c r="A460" s="3">
        <v>46185</v>
      </c>
      <c r="B460" t="s">
        <v>95</v>
      </c>
      <c r="C460" t="s">
        <v>96</v>
      </c>
      <c r="D460" t="s">
        <v>20</v>
      </c>
      <c r="E460" t="s">
        <v>184</v>
      </c>
    </row>
    <row r="461" spans="1:5">
      <c r="A461" s="3">
        <v>46185</v>
      </c>
      <c r="B461" t="s">
        <v>100</v>
      </c>
      <c r="C461" t="s">
        <v>101</v>
      </c>
      <c r="D461" t="s">
        <v>37</v>
      </c>
      <c r="E461" t="s">
        <v>186</v>
      </c>
    </row>
    <row r="462" spans="1:5">
      <c r="A462" s="3">
        <v>46185</v>
      </c>
      <c r="B462" t="s">
        <v>104</v>
      </c>
      <c r="C462" t="s">
        <v>105</v>
      </c>
      <c r="D462" t="s">
        <v>13</v>
      </c>
      <c r="E462" t="s">
        <v>186</v>
      </c>
    </row>
    <row r="463" spans="1:5">
      <c r="A463" s="3">
        <v>46185</v>
      </c>
      <c r="B463" t="s">
        <v>109</v>
      </c>
      <c r="C463" t="s">
        <v>110</v>
      </c>
      <c r="D463" t="s">
        <v>25</v>
      </c>
      <c r="E463" t="s">
        <v>184</v>
      </c>
    </row>
    <row r="464" spans="1:5">
      <c r="A464" s="3">
        <v>46185</v>
      </c>
      <c r="B464" t="s">
        <v>114</v>
      </c>
      <c r="C464" t="s">
        <v>115</v>
      </c>
      <c r="D464" t="s">
        <v>31</v>
      </c>
      <c r="E464" t="s">
        <v>184</v>
      </c>
    </row>
    <row r="465" spans="1:5">
      <c r="A465" s="3">
        <v>46185</v>
      </c>
      <c r="B465" t="s">
        <v>117</v>
      </c>
      <c r="C465" t="s">
        <v>118</v>
      </c>
      <c r="D465" t="s">
        <v>20</v>
      </c>
      <c r="E465" t="s">
        <v>186</v>
      </c>
    </row>
    <row r="466" spans="1:5">
      <c r="A466" s="3">
        <v>46185</v>
      </c>
      <c r="B466" t="s">
        <v>121</v>
      </c>
      <c r="C466" t="s">
        <v>122</v>
      </c>
      <c r="D466" t="s">
        <v>37</v>
      </c>
      <c r="E466" t="s">
        <v>184</v>
      </c>
    </row>
    <row r="467" spans="1:5">
      <c r="A467" s="3">
        <v>46185</v>
      </c>
      <c r="B467" t="s">
        <v>125</v>
      </c>
      <c r="C467" t="s">
        <v>126</v>
      </c>
      <c r="D467" t="s">
        <v>13</v>
      </c>
      <c r="E467" t="s">
        <v>187</v>
      </c>
    </row>
    <row r="468" spans="1:5">
      <c r="A468" s="3">
        <v>46185</v>
      </c>
      <c r="B468" t="s">
        <v>128</v>
      </c>
      <c r="C468" t="s">
        <v>129</v>
      </c>
      <c r="D468" t="s">
        <v>25</v>
      </c>
      <c r="E468" t="s">
        <v>184</v>
      </c>
    </row>
    <row r="469" spans="1:5">
      <c r="A469" s="3">
        <v>46185</v>
      </c>
      <c r="B469" t="s">
        <v>131</v>
      </c>
      <c r="C469" t="s">
        <v>132</v>
      </c>
      <c r="D469" t="s">
        <v>31</v>
      </c>
      <c r="E469" t="s">
        <v>186</v>
      </c>
    </row>
    <row r="470" spans="1:5">
      <c r="A470" s="3">
        <v>46185</v>
      </c>
      <c r="B470" t="s">
        <v>135</v>
      </c>
      <c r="C470" t="s">
        <v>136</v>
      </c>
      <c r="D470" t="s">
        <v>20</v>
      </c>
      <c r="E470" t="s">
        <v>184</v>
      </c>
    </row>
    <row r="471" spans="1:5">
      <c r="A471" s="3">
        <v>46185</v>
      </c>
      <c r="B471" t="s">
        <v>138</v>
      </c>
      <c r="C471" t="s">
        <v>139</v>
      </c>
      <c r="D471" t="s">
        <v>37</v>
      </c>
      <c r="E471" t="s">
        <v>184</v>
      </c>
    </row>
    <row r="472" spans="1:5">
      <c r="A472" s="3">
        <v>46185</v>
      </c>
      <c r="B472" t="s">
        <v>142</v>
      </c>
      <c r="C472" t="s">
        <v>143</v>
      </c>
      <c r="D472" t="s">
        <v>13</v>
      </c>
      <c r="E472" t="s">
        <v>184</v>
      </c>
    </row>
    <row r="473" spans="1:5">
      <c r="A473" s="3">
        <v>46185</v>
      </c>
      <c r="B473" t="s">
        <v>146</v>
      </c>
      <c r="C473" t="s">
        <v>147</v>
      </c>
      <c r="D473" t="s">
        <v>25</v>
      </c>
      <c r="E473" t="s">
        <v>184</v>
      </c>
    </row>
    <row r="474" spans="1:5">
      <c r="A474" s="3">
        <v>46185</v>
      </c>
      <c r="B474" t="s">
        <v>149</v>
      </c>
      <c r="C474" t="s">
        <v>150</v>
      </c>
      <c r="D474" t="s">
        <v>31</v>
      </c>
      <c r="E474" t="s">
        <v>185</v>
      </c>
    </row>
    <row r="475" spans="1:5">
      <c r="A475" s="3">
        <v>46185</v>
      </c>
      <c r="B475" t="s">
        <v>152</v>
      </c>
      <c r="C475" t="s">
        <v>153</v>
      </c>
      <c r="D475" t="s">
        <v>20</v>
      </c>
      <c r="E475" t="s">
        <v>184</v>
      </c>
    </row>
    <row r="476" spans="1:5">
      <c r="A476" s="3">
        <v>46185</v>
      </c>
      <c r="B476" t="s">
        <v>156</v>
      </c>
      <c r="C476" t="s">
        <v>157</v>
      </c>
      <c r="D476" t="s">
        <v>37</v>
      </c>
      <c r="E476" t="s">
        <v>184</v>
      </c>
    </row>
    <row r="477" spans="1:5">
      <c r="A477" s="3">
        <v>46185</v>
      </c>
      <c r="B477" t="s">
        <v>160</v>
      </c>
      <c r="C477" t="s">
        <v>161</v>
      </c>
      <c r="D477" t="s">
        <v>13</v>
      </c>
      <c r="E477" t="s">
        <v>184</v>
      </c>
    </row>
    <row r="478" spans="1:5">
      <c r="A478" s="3">
        <v>46185</v>
      </c>
      <c r="B478" t="s">
        <v>163</v>
      </c>
      <c r="C478" t="s">
        <v>164</v>
      </c>
      <c r="D478" t="s">
        <v>25</v>
      </c>
      <c r="E478" t="s">
        <v>186</v>
      </c>
    </row>
    <row r="479" spans="1:5">
      <c r="A479" s="3">
        <v>46185</v>
      </c>
      <c r="B479" t="s">
        <v>166</v>
      </c>
      <c r="C479" t="s">
        <v>167</v>
      </c>
      <c r="D479" t="s">
        <v>31</v>
      </c>
      <c r="E479" t="s">
        <v>184</v>
      </c>
    </row>
    <row r="480" spans="1:5">
      <c r="A480" s="3">
        <v>46185</v>
      </c>
      <c r="B480" t="s">
        <v>170</v>
      </c>
      <c r="C480" t="s">
        <v>171</v>
      </c>
      <c r="D480" t="s">
        <v>20</v>
      </c>
      <c r="E480" t="s">
        <v>184</v>
      </c>
    </row>
    <row r="481" spans="1:5">
      <c r="A481" s="3">
        <v>46185</v>
      </c>
      <c r="B481" t="s">
        <v>174</v>
      </c>
      <c r="C481" t="s">
        <v>175</v>
      </c>
      <c r="D481" t="s">
        <v>37</v>
      </c>
      <c r="E481" t="s">
        <v>184</v>
      </c>
    </row>
    <row r="482" spans="1:5">
      <c r="A482" s="3">
        <v>46186</v>
      </c>
      <c r="B482" t="s">
        <v>10</v>
      </c>
      <c r="C482" t="s">
        <v>11</v>
      </c>
      <c r="D482" t="s">
        <v>13</v>
      </c>
      <c r="E482" t="s">
        <v>184</v>
      </c>
    </row>
    <row r="483" spans="1:5">
      <c r="A483" s="3">
        <v>46186</v>
      </c>
      <c r="B483" t="s">
        <v>17</v>
      </c>
      <c r="C483" t="s">
        <v>18</v>
      </c>
      <c r="D483" t="s">
        <v>20</v>
      </c>
      <c r="E483" t="s">
        <v>184</v>
      </c>
    </row>
    <row r="484" spans="1:5">
      <c r="A484" s="3">
        <v>46186</v>
      </c>
      <c r="B484" t="s">
        <v>23</v>
      </c>
      <c r="C484" t="s">
        <v>24</v>
      </c>
      <c r="D484" t="s">
        <v>25</v>
      </c>
      <c r="E484" t="s">
        <v>184</v>
      </c>
    </row>
    <row r="485" spans="1:5">
      <c r="A485" s="3">
        <v>46186</v>
      </c>
      <c r="B485" t="s">
        <v>29</v>
      </c>
      <c r="C485" t="s">
        <v>30</v>
      </c>
      <c r="D485" t="s">
        <v>31</v>
      </c>
      <c r="E485" t="s">
        <v>184</v>
      </c>
    </row>
    <row r="486" spans="1:5">
      <c r="A486" s="3">
        <v>46186</v>
      </c>
      <c r="B486" t="s">
        <v>35</v>
      </c>
      <c r="C486" t="s">
        <v>36</v>
      </c>
      <c r="D486" t="s">
        <v>37</v>
      </c>
      <c r="E486" t="s">
        <v>184</v>
      </c>
    </row>
    <row r="487" spans="1:5">
      <c r="A487" s="3">
        <v>46186</v>
      </c>
      <c r="B487" t="s">
        <v>40</v>
      </c>
      <c r="C487" t="s">
        <v>41</v>
      </c>
      <c r="D487" t="s">
        <v>13</v>
      </c>
      <c r="E487" t="s">
        <v>184</v>
      </c>
    </row>
    <row r="488" spans="1:5">
      <c r="A488" s="3">
        <v>46186</v>
      </c>
      <c r="B488" t="s">
        <v>44</v>
      </c>
      <c r="C488" t="s">
        <v>45</v>
      </c>
      <c r="D488" t="s">
        <v>25</v>
      </c>
      <c r="E488" t="s">
        <v>184</v>
      </c>
    </row>
    <row r="489" spans="1:5">
      <c r="A489" s="3">
        <v>46186</v>
      </c>
      <c r="B489" t="s">
        <v>49</v>
      </c>
      <c r="C489" t="s">
        <v>50</v>
      </c>
      <c r="D489" t="s">
        <v>31</v>
      </c>
      <c r="E489" t="s">
        <v>185</v>
      </c>
    </row>
    <row r="490" spans="1:5">
      <c r="A490" s="3">
        <v>46186</v>
      </c>
      <c r="B490" t="s">
        <v>54</v>
      </c>
      <c r="C490" t="s">
        <v>55</v>
      </c>
      <c r="D490" t="s">
        <v>20</v>
      </c>
      <c r="E490" t="s">
        <v>184</v>
      </c>
    </row>
    <row r="491" spans="1:5">
      <c r="A491" s="3">
        <v>46186</v>
      </c>
      <c r="B491" t="s">
        <v>58</v>
      </c>
      <c r="C491" t="s">
        <v>59</v>
      </c>
      <c r="D491" t="s">
        <v>37</v>
      </c>
      <c r="E491" t="s">
        <v>186</v>
      </c>
    </row>
    <row r="492" spans="1:5">
      <c r="A492" s="3">
        <v>46186</v>
      </c>
      <c r="B492" t="s">
        <v>63</v>
      </c>
      <c r="C492" t="s">
        <v>64</v>
      </c>
      <c r="D492" t="s">
        <v>13</v>
      </c>
      <c r="E492" t="s">
        <v>184</v>
      </c>
    </row>
    <row r="493" spans="1:5">
      <c r="A493" s="3">
        <v>46186</v>
      </c>
      <c r="B493" t="s">
        <v>67</v>
      </c>
      <c r="C493" t="s">
        <v>68</v>
      </c>
      <c r="D493" t="s">
        <v>25</v>
      </c>
      <c r="E493" t="s">
        <v>184</v>
      </c>
    </row>
    <row r="494" spans="1:5">
      <c r="A494" s="3">
        <v>46186</v>
      </c>
      <c r="B494" t="s">
        <v>71</v>
      </c>
      <c r="C494" t="s">
        <v>72</v>
      </c>
      <c r="D494" t="s">
        <v>31</v>
      </c>
      <c r="E494" t="s">
        <v>184</v>
      </c>
    </row>
    <row r="495" spans="1:5">
      <c r="A495" s="3">
        <v>46186</v>
      </c>
      <c r="B495" t="s">
        <v>75</v>
      </c>
      <c r="C495" t="s">
        <v>76</v>
      </c>
      <c r="D495" t="s">
        <v>20</v>
      </c>
      <c r="E495" t="s">
        <v>184</v>
      </c>
    </row>
    <row r="496" spans="1:5">
      <c r="A496" s="3">
        <v>46186</v>
      </c>
      <c r="B496" t="s">
        <v>79</v>
      </c>
      <c r="C496" t="s">
        <v>80</v>
      </c>
      <c r="D496" t="s">
        <v>37</v>
      </c>
      <c r="E496" t="s">
        <v>184</v>
      </c>
    </row>
    <row r="497" spans="1:5">
      <c r="A497" s="3">
        <v>46186</v>
      </c>
      <c r="B497" t="s">
        <v>82</v>
      </c>
      <c r="C497" t="s">
        <v>83</v>
      </c>
      <c r="D497" t="s">
        <v>13</v>
      </c>
      <c r="E497" t="s">
        <v>184</v>
      </c>
    </row>
    <row r="498" spans="1:5">
      <c r="A498" s="3">
        <v>46186</v>
      </c>
      <c r="B498" t="s">
        <v>87</v>
      </c>
      <c r="C498" t="s">
        <v>88</v>
      </c>
      <c r="D498" t="s">
        <v>25</v>
      </c>
      <c r="E498" t="s">
        <v>184</v>
      </c>
    </row>
    <row r="499" spans="1:5">
      <c r="A499" s="3">
        <v>46186</v>
      </c>
      <c r="B499" t="s">
        <v>91</v>
      </c>
      <c r="C499" t="s">
        <v>92</v>
      </c>
      <c r="D499" t="s">
        <v>31</v>
      </c>
      <c r="E499" t="s">
        <v>184</v>
      </c>
    </row>
    <row r="500" spans="1:5">
      <c r="A500" s="3">
        <v>46186</v>
      </c>
      <c r="B500" t="s">
        <v>95</v>
      </c>
      <c r="C500" t="s">
        <v>96</v>
      </c>
      <c r="D500" t="s">
        <v>20</v>
      </c>
      <c r="E500" t="s">
        <v>186</v>
      </c>
    </row>
    <row r="501" spans="1:5">
      <c r="A501" s="3">
        <v>46186</v>
      </c>
      <c r="B501" t="s">
        <v>100</v>
      </c>
      <c r="C501" t="s">
        <v>101</v>
      </c>
      <c r="D501" t="s">
        <v>37</v>
      </c>
      <c r="E501" t="s">
        <v>184</v>
      </c>
    </row>
    <row r="502" spans="1:5">
      <c r="A502" s="3">
        <v>46186</v>
      </c>
      <c r="B502" t="s">
        <v>104</v>
      </c>
      <c r="C502" t="s">
        <v>105</v>
      </c>
      <c r="D502" t="s">
        <v>13</v>
      </c>
      <c r="E502" t="s">
        <v>184</v>
      </c>
    </row>
    <row r="503" spans="1:5">
      <c r="A503" s="3">
        <v>46186</v>
      </c>
      <c r="B503" t="s">
        <v>109</v>
      </c>
      <c r="C503" t="s">
        <v>110</v>
      </c>
      <c r="D503" t="s">
        <v>25</v>
      </c>
      <c r="E503" t="s">
        <v>184</v>
      </c>
    </row>
    <row r="504" spans="1:5">
      <c r="A504" s="3">
        <v>46186</v>
      </c>
      <c r="B504" t="s">
        <v>114</v>
      </c>
      <c r="C504" t="s">
        <v>115</v>
      </c>
      <c r="D504" t="s">
        <v>31</v>
      </c>
      <c r="E504" t="s">
        <v>184</v>
      </c>
    </row>
    <row r="505" spans="1:5">
      <c r="A505" s="3">
        <v>46186</v>
      </c>
      <c r="B505" t="s">
        <v>117</v>
      </c>
      <c r="C505" t="s">
        <v>118</v>
      </c>
      <c r="D505" t="s">
        <v>20</v>
      </c>
      <c r="E505" t="s">
        <v>184</v>
      </c>
    </row>
    <row r="506" spans="1:5">
      <c r="A506" s="3">
        <v>46186</v>
      </c>
      <c r="B506" t="s">
        <v>121</v>
      </c>
      <c r="C506" t="s">
        <v>122</v>
      </c>
      <c r="D506" t="s">
        <v>37</v>
      </c>
      <c r="E506" t="s">
        <v>184</v>
      </c>
    </row>
    <row r="507" spans="1:5">
      <c r="A507" s="3">
        <v>46186</v>
      </c>
      <c r="B507" t="s">
        <v>125</v>
      </c>
      <c r="C507" t="s">
        <v>126</v>
      </c>
      <c r="D507" t="s">
        <v>13</v>
      </c>
      <c r="E507" t="s">
        <v>184</v>
      </c>
    </row>
    <row r="508" spans="1:5">
      <c r="A508" s="3">
        <v>46186</v>
      </c>
      <c r="B508" t="s">
        <v>128</v>
      </c>
      <c r="C508" t="s">
        <v>129</v>
      </c>
      <c r="D508" t="s">
        <v>25</v>
      </c>
      <c r="E508" t="s">
        <v>184</v>
      </c>
    </row>
    <row r="509" spans="1:5">
      <c r="A509" s="3">
        <v>46186</v>
      </c>
      <c r="B509" t="s">
        <v>131</v>
      </c>
      <c r="C509" t="s">
        <v>132</v>
      </c>
      <c r="D509" t="s">
        <v>31</v>
      </c>
      <c r="E509" t="s">
        <v>184</v>
      </c>
    </row>
    <row r="510" spans="1:5">
      <c r="A510" s="3">
        <v>46186</v>
      </c>
      <c r="B510" t="s">
        <v>135</v>
      </c>
      <c r="C510" t="s">
        <v>136</v>
      </c>
      <c r="D510" t="s">
        <v>20</v>
      </c>
      <c r="E510" t="s">
        <v>184</v>
      </c>
    </row>
    <row r="511" spans="1:5">
      <c r="A511" s="3">
        <v>46186</v>
      </c>
      <c r="B511" t="s">
        <v>138</v>
      </c>
      <c r="C511" t="s">
        <v>139</v>
      </c>
      <c r="D511" t="s">
        <v>37</v>
      </c>
      <c r="E511" t="s">
        <v>184</v>
      </c>
    </row>
    <row r="512" spans="1:5">
      <c r="A512" s="3">
        <v>46186</v>
      </c>
      <c r="B512" t="s">
        <v>142</v>
      </c>
      <c r="C512" t="s">
        <v>143</v>
      </c>
      <c r="D512" t="s">
        <v>13</v>
      </c>
      <c r="E512" t="s">
        <v>184</v>
      </c>
    </row>
    <row r="513" spans="1:5">
      <c r="A513" s="3">
        <v>46186</v>
      </c>
      <c r="B513" t="s">
        <v>146</v>
      </c>
      <c r="C513" t="s">
        <v>147</v>
      </c>
      <c r="D513" t="s">
        <v>25</v>
      </c>
      <c r="E513" t="s">
        <v>186</v>
      </c>
    </row>
    <row r="514" spans="1:5">
      <c r="A514" s="3">
        <v>46186</v>
      </c>
      <c r="B514" t="s">
        <v>149</v>
      </c>
      <c r="C514" t="s">
        <v>150</v>
      </c>
      <c r="D514" t="s">
        <v>31</v>
      </c>
      <c r="E514" t="s">
        <v>184</v>
      </c>
    </row>
    <row r="515" spans="1:5">
      <c r="A515" s="3">
        <v>46186</v>
      </c>
      <c r="B515" t="s">
        <v>152</v>
      </c>
      <c r="C515" t="s">
        <v>153</v>
      </c>
      <c r="D515" t="s">
        <v>20</v>
      </c>
      <c r="E515" t="s">
        <v>184</v>
      </c>
    </row>
    <row r="516" spans="1:5">
      <c r="A516" s="3">
        <v>46186</v>
      </c>
      <c r="B516" t="s">
        <v>156</v>
      </c>
      <c r="C516" t="s">
        <v>157</v>
      </c>
      <c r="D516" t="s">
        <v>37</v>
      </c>
      <c r="E516" t="s">
        <v>184</v>
      </c>
    </row>
    <row r="517" spans="1:5">
      <c r="A517" s="3">
        <v>46186</v>
      </c>
      <c r="B517" t="s">
        <v>160</v>
      </c>
      <c r="C517" t="s">
        <v>161</v>
      </c>
      <c r="D517" t="s">
        <v>13</v>
      </c>
      <c r="E517" t="s">
        <v>184</v>
      </c>
    </row>
    <row r="518" spans="1:5">
      <c r="A518" s="3">
        <v>46186</v>
      </c>
      <c r="B518" t="s">
        <v>163</v>
      </c>
      <c r="C518" t="s">
        <v>164</v>
      </c>
      <c r="D518" t="s">
        <v>25</v>
      </c>
      <c r="E518" t="s">
        <v>186</v>
      </c>
    </row>
    <row r="519" spans="1:5">
      <c r="A519" s="3">
        <v>46186</v>
      </c>
      <c r="B519" t="s">
        <v>166</v>
      </c>
      <c r="C519" t="s">
        <v>167</v>
      </c>
      <c r="D519" t="s">
        <v>31</v>
      </c>
      <c r="E519" t="s">
        <v>184</v>
      </c>
    </row>
    <row r="520" spans="1:5">
      <c r="A520" s="3">
        <v>46186</v>
      </c>
      <c r="B520" t="s">
        <v>170</v>
      </c>
      <c r="C520" t="s">
        <v>171</v>
      </c>
      <c r="D520" t="s">
        <v>20</v>
      </c>
      <c r="E520" t="s">
        <v>184</v>
      </c>
    </row>
    <row r="521" spans="1:5">
      <c r="A521" s="3">
        <v>46186</v>
      </c>
      <c r="B521" t="s">
        <v>174</v>
      </c>
      <c r="C521" t="s">
        <v>175</v>
      </c>
      <c r="D521" t="s">
        <v>37</v>
      </c>
      <c r="E521" t="s">
        <v>184</v>
      </c>
    </row>
    <row r="522" spans="1:5">
      <c r="A522" s="3">
        <v>46187</v>
      </c>
      <c r="B522" t="s">
        <v>10</v>
      </c>
      <c r="C522" t="s">
        <v>11</v>
      </c>
      <c r="D522" t="s">
        <v>13</v>
      </c>
      <c r="E522" t="s">
        <v>186</v>
      </c>
    </row>
    <row r="523" spans="1:5">
      <c r="A523" s="3">
        <v>46187</v>
      </c>
      <c r="B523" t="s">
        <v>17</v>
      </c>
      <c r="C523" t="s">
        <v>18</v>
      </c>
      <c r="D523" t="s">
        <v>20</v>
      </c>
      <c r="E523" t="s">
        <v>184</v>
      </c>
    </row>
    <row r="524" spans="1:5">
      <c r="A524" s="3">
        <v>46187</v>
      </c>
      <c r="B524" t="s">
        <v>23</v>
      </c>
      <c r="C524" t="s">
        <v>24</v>
      </c>
      <c r="D524" t="s">
        <v>25</v>
      </c>
      <c r="E524" t="s">
        <v>184</v>
      </c>
    </row>
    <row r="525" spans="1:5">
      <c r="A525" s="3">
        <v>46187</v>
      </c>
      <c r="B525" t="s">
        <v>29</v>
      </c>
      <c r="C525" t="s">
        <v>30</v>
      </c>
      <c r="D525" t="s">
        <v>31</v>
      </c>
      <c r="E525" t="s">
        <v>184</v>
      </c>
    </row>
    <row r="526" spans="1:5">
      <c r="A526" s="3">
        <v>46187</v>
      </c>
      <c r="B526" t="s">
        <v>35</v>
      </c>
      <c r="C526" t="s">
        <v>36</v>
      </c>
      <c r="D526" t="s">
        <v>37</v>
      </c>
      <c r="E526" t="s">
        <v>185</v>
      </c>
    </row>
    <row r="527" spans="1:5">
      <c r="A527" s="3">
        <v>46187</v>
      </c>
      <c r="B527" t="s">
        <v>40</v>
      </c>
      <c r="C527" t="s">
        <v>41</v>
      </c>
      <c r="D527" t="s">
        <v>13</v>
      </c>
      <c r="E527" t="s">
        <v>186</v>
      </c>
    </row>
    <row r="528" spans="1:5">
      <c r="A528" s="3">
        <v>46187</v>
      </c>
      <c r="B528" t="s">
        <v>44</v>
      </c>
      <c r="C528" t="s">
        <v>45</v>
      </c>
      <c r="D528" t="s">
        <v>25</v>
      </c>
      <c r="E528" t="s">
        <v>184</v>
      </c>
    </row>
    <row r="529" spans="1:5">
      <c r="A529" s="3">
        <v>46187</v>
      </c>
      <c r="B529" t="s">
        <v>49</v>
      </c>
      <c r="C529" t="s">
        <v>50</v>
      </c>
      <c r="D529" t="s">
        <v>31</v>
      </c>
      <c r="E529" t="s">
        <v>184</v>
      </c>
    </row>
    <row r="530" spans="1:5">
      <c r="A530" s="3">
        <v>46187</v>
      </c>
      <c r="B530" t="s">
        <v>54</v>
      </c>
      <c r="C530" t="s">
        <v>55</v>
      </c>
      <c r="D530" t="s">
        <v>20</v>
      </c>
      <c r="E530" t="s">
        <v>184</v>
      </c>
    </row>
    <row r="531" spans="1:5">
      <c r="A531" s="3">
        <v>46187</v>
      </c>
      <c r="B531" t="s">
        <v>58</v>
      </c>
      <c r="C531" t="s">
        <v>59</v>
      </c>
      <c r="D531" t="s">
        <v>37</v>
      </c>
      <c r="E531" t="s">
        <v>184</v>
      </c>
    </row>
    <row r="532" spans="1:5">
      <c r="A532" s="3">
        <v>46187</v>
      </c>
      <c r="B532" t="s">
        <v>63</v>
      </c>
      <c r="C532" t="s">
        <v>64</v>
      </c>
      <c r="D532" t="s">
        <v>13</v>
      </c>
      <c r="E532" t="s">
        <v>184</v>
      </c>
    </row>
    <row r="533" spans="1:5">
      <c r="A533" s="3">
        <v>46187</v>
      </c>
      <c r="B533" t="s">
        <v>67</v>
      </c>
      <c r="C533" t="s">
        <v>68</v>
      </c>
      <c r="D533" t="s">
        <v>25</v>
      </c>
      <c r="E533" t="s">
        <v>184</v>
      </c>
    </row>
    <row r="534" spans="1:5">
      <c r="A534" s="3">
        <v>46187</v>
      </c>
      <c r="B534" t="s">
        <v>71</v>
      </c>
      <c r="C534" t="s">
        <v>72</v>
      </c>
      <c r="D534" t="s">
        <v>31</v>
      </c>
      <c r="E534" t="s">
        <v>184</v>
      </c>
    </row>
    <row r="535" spans="1:5">
      <c r="A535" s="3">
        <v>46187</v>
      </c>
      <c r="B535" t="s">
        <v>75</v>
      </c>
      <c r="C535" t="s">
        <v>76</v>
      </c>
      <c r="D535" t="s">
        <v>20</v>
      </c>
      <c r="E535" t="s">
        <v>184</v>
      </c>
    </row>
    <row r="536" spans="1:5">
      <c r="A536" s="3">
        <v>46187</v>
      </c>
      <c r="B536" t="s">
        <v>79</v>
      </c>
      <c r="C536" t="s">
        <v>80</v>
      </c>
      <c r="D536" t="s">
        <v>37</v>
      </c>
      <c r="E536" t="s">
        <v>184</v>
      </c>
    </row>
    <row r="537" spans="1:5">
      <c r="A537" s="3">
        <v>46187</v>
      </c>
      <c r="B537" t="s">
        <v>82</v>
      </c>
      <c r="C537" t="s">
        <v>83</v>
      </c>
      <c r="D537" t="s">
        <v>13</v>
      </c>
      <c r="E537" t="s">
        <v>184</v>
      </c>
    </row>
    <row r="538" spans="1:5">
      <c r="A538" s="3">
        <v>46187</v>
      </c>
      <c r="B538" t="s">
        <v>87</v>
      </c>
      <c r="C538" t="s">
        <v>88</v>
      </c>
      <c r="D538" t="s">
        <v>25</v>
      </c>
      <c r="E538" t="s">
        <v>187</v>
      </c>
    </row>
    <row r="539" spans="1:5">
      <c r="A539" s="3">
        <v>46187</v>
      </c>
      <c r="B539" t="s">
        <v>91</v>
      </c>
      <c r="C539" t="s">
        <v>92</v>
      </c>
      <c r="D539" t="s">
        <v>31</v>
      </c>
      <c r="E539" t="s">
        <v>184</v>
      </c>
    </row>
    <row r="540" spans="1:5">
      <c r="A540" s="3">
        <v>46187</v>
      </c>
      <c r="B540" t="s">
        <v>95</v>
      </c>
      <c r="C540" t="s">
        <v>96</v>
      </c>
      <c r="D540" t="s">
        <v>20</v>
      </c>
      <c r="E540" t="s">
        <v>184</v>
      </c>
    </row>
    <row r="541" spans="1:5">
      <c r="A541" s="3">
        <v>46187</v>
      </c>
      <c r="B541" t="s">
        <v>100</v>
      </c>
      <c r="C541" t="s">
        <v>101</v>
      </c>
      <c r="D541" t="s">
        <v>37</v>
      </c>
      <c r="E541" t="s">
        <v>184</v>
      </c>
    </row>
    <row r="542" spans="1:5">
      <c r="A542" s="3">
        <v>46187</v>
      </c>
      <c r="B542" t="s">
        <v>104</v>
      </c>
      <c r="C542" t="s">
        <v>105</v>
      </c>
      <c r="D542" t="s">
        <v>13</v>
      </c>
      <c r="E542" t="s">
        <v>184</v>
      </c>
    </row>
    <row r="543" spans="1:5">
      <c r="A543" s="3">
        <v>46187</v>
      </c>
      <c r="B543" t="s">
        <v>109</v>
      </c>
      <c r="C543" t="s">
        <v>110</v>
      </c>
      <c r="D543" t="s">
        <v>25</v>
      </c>
      <c r="E543" t="s">
        <v>185</v>
      </c>
    </row>
    <row r="544" spans="1:5">
      <c r="A544" s="3">
        <v>46187</v>
      </c>
      <c r="B544" t="s">
        <v>114</v>
      </c>
      <c r="C544" t="s">
        <v>115</v>
      </c>
      <c r="D544" t="s">
        <v>31</v>
      </c>
      <c r="E544" t="s">
        <v>185</v>
      </c>
    </row>
    <row r="545" spans="1:5">
      <c r="A545" s="3">
        <v>46187</v>
      </c>
      <c r="B545" t="s">
        <v>117</v>
      </c>
      <c r="C545" t="s">
        <v>118</v>
      </c>
      <c r="D545" t="s">
        <v>20</v>
      </c>
      <c r="E545" t="s">
        <v>184</v>
      </c>
    </row>
    <row r="546" spans="1:5">
      <c r="A546" s="3">
        <v>46187</v>
      </c>
      <c r="B546" t="s">
        <v>121</v>
      </c>
      <c r="C546" t="s">
        <v>122</v>
      </c>
      <c r="D546" t="s">
        <v>37</v>
      </c>
      <c r="E546" t="s">
        <v>184</v>
      </c>
    </row>
    <row r="547" spans="1:5">
      <c r="A547" s="3">
        <v>46187</v>
      </c>
      <c r="B547" t="s">
        <v>125</v>
      </c>
      <c r="C547" t="s">
        <v>126</v>
      </c>
      <c r="D547" t="s">
        <v>13</v>
      </c>
      <c r="E547" t="s">
        <v>184</v>
      </c>
    </row>
    <row r="548" spans="1:5">
      <c r="A548" s="3">
        <v>46187</v>
      </c>
      <c r="B548" t="s">
        <v>128</v>
      </c>
      <c r="C548" t="s">
        <v>129</v>
      </c>
      <c r="D548" t="s">
        <v>25</v>
      </c>
      <c r="E548" t="s">
        <v>185</v>
      </c>
    </row>
    <row r="549" spans="1:5">
      <c r="A549" s="3">
        <v>46187</v>
      </c>
      <c r="B549" t="s">
        <v>131</v>
      </c>
      <c r="C549" t="s">
        <v>132</v>
      </c>
      <c r="D549" t="s">
        <v>31</v>
      </c>
      <c r="E549" t="s">
        <v>184</v>
      </c>
    </row>
    <row r="550" spans="1:5">
      <c r="A550" s="3">
        <v>46187</v>
      </c>
      <c r="B550" t="s">
        <v>135</v>
      </c>
      <c r="C550" t="s">
        <v>136</v>
      </c>
      <c r="D550" t="s">
        <v>20</v>
      </c>
      <c r="E550" t="s">
        <v>184</v>
      </c>
    </row>
    <row r="551" spans="1:5">
      <c r="A551" s="3">
        <v>46187</v>
      </c>
      <c r="B551" t="s">
        <v>138</v>
      </c>
      <c r="C551" t="s">
        <v>139</v>
      </c>
      <c r="D551" t="s">
        <v>37</v>
      </c>
      <c r="E551" t="s">
        <v>184</v>
      </c>
    </row>
    <row r="552" spans="1:5">
      <c r="A552" s="3">
        <v>46187</v>
      </c>
      <c r="B552" t="s">
        <v>142</v>
      </c>
      <c r="C552" t="s">
        <v>143</v>
      </c>
      <c r="D552" t="s">
        <v>13</v>
      </c>
      <c r="E552" t="s">
        <v>186</v>
      </c>
    </row>
    <row r="553" spans="1:5">
      <c r="A553" s="3">
        <v>46187</v>
      </c>
      <c r="B553" t="s">
        <v>146</v>
      </c>
      <c r="C553" t="s">
        <v>147</v>
      </c>
      <c r="D553" t="s">
        <v>25</v>
      </c>
      <c r="E553" t="s">
        <v>184</v>
      </c>
    </row>
    <row r="554" spans="1:5">
      <c r="A554" s="3">
        <v>46187</v>
      </c>
      <c r="B554" t="s">
        <v>149</v>
      </c>
      <c r="C554" t="s">
        <v>150</v>
      </c>
      <c r="D554" t="s">
        <v>31</v>
      </c>
      <c r="E554" t="s">
        <v>186</v>
      </c>
    </row>
    <row r="555" spans="1:5">
      <c r="A555" s="3">
        <v>46187</v>
      </c>
      <c r="B555" t="s">
        <v>152</v>
      </c>
      <c r="C555" t="s">
        <v>153</v>
      </c>
      <c r="D555" t="s">
        <v>20</v>
      </c>
      <c r="E555" t="s">
        <v>184</v>
      </c>
    </row>
    <row r="556" spans="1:5">
      <c r="A556" s="3">
        <v>46187</v>
      </c>
      <c r="B556" t="s">
        <v>156</v>
      </c>
      <c r="C556" t="s">
        <v>157</v>
      </c>
      <c r="D556" t="s">
        <v>37</v>
      </c>
      <c r="E556" t="s">
        <v>184</v>
      </c>
    </row>
    <row r="557" spans="1:5">
      <c r="A557" s="3">
        <v>46187</v>
      </c>
      <c r="B557" t="s">
        <v>160</v>
      </c>
      <c r="C557" t="s">
        <v>161</v>
      </c>
      <c r="D557" t="s">
        <v>13</v>
      </c>
      <c r="E557" t="s">
        <v>184</v>
      </c>
    </row>
    <row r="558" spans="1:5">
      <c r="A558" s="3">
        <v>46187</v>
      </c>
      <c r="B558" t="s">
        <v>163</v>
      </c>
      <c r="C558" t="s">
        <v>164</v>
      </c>
      <c r="D558" t="s">
        <v>25</v>
      </c>
      <c r="E558" t="s">
        <v>184</v>
      </c>
    </row>
    <row r="559" spans="1:5">
      <c r="A559" s="3">
        <v>46187</v>
      </c>
      <c r="B559" t="s">
        <v>166</v>
      </c>
      <c r="C559" t="s">
        <v>167</v>
      </c>
      <c r="D559" t="s">
        <v>31</v>
      </c>
      <c r="E559" t="s">
        <v>186</v>
      </c>
    </row>
    <row r="560" spans="1:5">
      <c r="A560" s="3">
        <v>46187</v>
      </c>
      <c r="B560" t="s">
        <v>170</v>
      </c>
      <c r="C560" t="s">
        <v>171</v>
      </c>
      <c r="D560" t="s">
        <v>20</v>
      </c>
      <c r="E560" t="s">
        <v>184</v>
      </c>
    </row>
    <row r="561" spans="1:5">
      <c r="A561" s="3">
        <v>46187</v>
      </c>
      <c r="B561" t="s">
        <v>174</v>
      </c>
      <c r="C561" t="s">
        <v>175</v>
      </c>
      <c r="D561" t="s">
        <v>37</v>
      </c>
      <c r="E561" t="s">
        <v>184</v>
      </c>
    </row>
    <row r="562" spans="1:5">
      <c r="A562" s="3">
        <v>46188</v>
      </c>
      <c r="B562" t="s">
        <v>10</v>
      </c>
      <c r="C562" t="s">
        <v>11</v>
      </c>
      <c r="D562" t="s">
        <v>13</v>
      </c>
      <c r="E562" t="s">
        <v>184</v>
      </c>
    </row>
    <row r="563" spans="1:5">
      <c r="A563" s="3">
        <v>46188</v>
      </c>
      <c r="B563" t="s">
        <v>17</v>
      </c>
      <c r="C563" t="s">
        <v>18</v>
      </c>
      <c r="D563" t="s">
        <v>20</v>
      </c>
      <c r="E563" t="s">
        <v>186</v>
      </c>
    </row>
    <row r="564" spans="1:5">
      <c r="A564" s="3">
        <v>46188</v>
      </c>
      <c r="B564" t="s">
        <v>23</v>
      </c>
      <c r="C564" t="s">
        <v>24</v>
      </c>
      <c r="D564" t="s">
        <v>25</v>
      </c>
      <c r="E564" t="s">
        <v>187</v>
      </c>
    </row>
    <row r="565" spans="1:5">
      <c r="A565" s="3">
        <v>46188</v>
      </c>
      <c r="B565" t="s">
        <v>29</v>
      </c>
      <c r="C565" t="s">
        <v>30</v>
      </c>
      <c r="D565" t="s">
        <v>31</v>
      </c>
      <c r="E565" t="s">
        <v>184</v>
      </c>
    </row>
    <row r="566" spans="1:5">
      <c r="A566" s="3">
        <v>46188</v>
      </c>
      <c r="B566" t="s">
        <v>35</v>
      </c>
      <c r="C566" t="s">
        <v>36</v>
      </c>
      <c r="D566" t="s">
        <v>37</v>
      </c>
      <c r="E566" t="s">
        <v>184</v>
      </c>
    </row>
    <row r="567" spans="1:5">
      <c r="A567" s="3">
        <v>46188</v>
      </c>
      <c r="B567" t="s">
        <v>40</v>
      </c>
      <c r="C567" t="s">
        <v>41</v>
      </c>
      <c r="D567" t="s">
        <v>13</v>
      </c>
      <c r="E567" t="s">
        <v>184</v>
      </c>
    </row>
    <row r="568" spans="1:5">
      <c r="A568" s="3">
        <v>46188</v>
      </c>
      <c r="B568" t="s">
        <v>44</v>
      </c>
      <c r="C568" t="s">
        <v>45</v>
      </c>
      <c r="D568" t="s">
        <v>25</v>
      </c>
      <c r="E568" t="s">
        <v>184</v>
      </c>
    </row>
    <row r="569" spans="1:5">
      <c r="A569" s="3">
        <v>46188</v>
      </c>
      <c r="B569" t="s">
        <v>49</v>
      </c>
      <c r="C569" t="s">
        <v>50</v>
      </c>
      <c r="D569" t="s">
        <v>31</v>
      </c>
      <c r="E569" t="s">
        <v>184</v>
      </c>
    </row>
    <row r="570" spans="1:5">
      <c r="A570" s="3">
        <v>46188</v>
      </c>
      <c r="B570" t="s">
        <v>54</v>
      </c>
      <c r="C570" t="s">
        <v>55</v>
      </c>
      <c r="D570" t="s">
        <v>20</v>
      </c>
      <c r="E570" t="s">
        <v>184</v>
      </c>
    </row>
    <row r="571" spans="1:5">
      <c r="A571" s="3">
        <v>46188</v>
      </c>
      <c r="B571" t="s">
        <v>58</v>
      </c>
      <c r="C571" t="s">
        <v>59</v>
      </c>
      <c r="D571" t="s">
        <v>37</v>
      </c>
      <c r="E571" t="s">
        <v>186</v>
      </c>
    </row>
    <row r="572" spans="1:5">
      <c r="A572" s="3">
        <v>46188</v>
      </c>
      <c r="B572" t="s">
        <v>63</v>
      </c>
      <c r="C572" t="s">
        <v>64</v>
      </c>
      <c r="D572" t="s">
        <v>13</v>
      </c>
      <c r="E572" t="s">
        <v>184</v>
      </c>
    </row>
    <row r="573" spans="1:5">
      <c r="A573" s="3">
        <v>46188</v>
      </c>
      <c r="B573" t="s">
        <v>67</v>
      </c>
      <c r="C573" t="s">
        <v>68</v>
      </c>
      <c r="D573" t="s">
        <v>25</v>
      </c>
      <c r="E573" t="s">
        <v>184</v>
      </c>
    </row>
    <row r="574" spans="1:5">
      <c r="A574" s="3">
        <v>46188</v>
      </c>
      <c r="B574" t="s">
        <v>71</v>
      </c>
      <c r="C574" t="s">
        <v>72</v>
      </c>
      <c r="D574" t="s">
        <v>31</v>
      </c>
      <c r="E574" t="s">
        <v>185</v>
      </c>
    </row>
    <row r="575" spans="1:5">
      <c r="A575" s="3">
        <v>46188</v>
      </c>
      <c r="B575" t="s">
        <v>75</v>
      </c>
      <c r="C575" t="s">
        <v>76</v>
      </c>
      <c r="D575" t="s">
        <v>20</v>
      </c>
      <c r="E575" t="s">
        <v>184</v>
      </c>
    </row>
    <row r="576" spans="1:5">
      <c r="A576" s="3">
        <v>46188</v>
      </c>
      <c r="B576" t="s">
        <v>79</v>
      </c>
      <c r="C576" t="s">
        <v>80</v>
      </c>
      <c r="D576" t="s">
        <v>37</v>
      </c>
      <c r="E576" t="s">
        <v>184</v>
      </c>
    </row>
    <row r="577" spans="1:5">
      <c r="A577" s="3">
        <v>46188</v>
      </c>
      <c r="B577" t="s">
        <v>82</v>
      </c>
      <c r="C577" t="s">
        <v>83</v>
      </c>
      <c r="D577" t="s">
        <v>13</v>
      </c>
      <c r="E577" t="s">
        <v>184</v>
      </c>
    </row>
    <row r="578" spans="1:5">
      <c r="A578" s="3">
        <v>46188</v>
      </c>
      <c r="B578" t="s">
        <v>87</v>
      </c>
      <c r="C578" t="s">
        <v>88</v>
      </c>
      <c r="D578" t="s">
        <v>25</v>
      </c>
      <c r="E578" t="s">
        <v>184</v>
      </c>
    </row>
    <row r="579" spans="1:5">
      <c r="A579" s="3">
        <v>46188</v>
      </c>
      <c r="B579" t="s">
        <v>91</v>
      </c>
      <c r="C579" t="s">
        <v>92</v>
      </c>
      <c r="D579" t="s">
        <v>31</v>
      </c>
      <c r="E579" t="s">
        <v>184</v>
      </c>
    </row>
    <row r="580" spans="1:5">
      <c r="A580" s="3">
        <v>46188</v>
      </c>
      <c r="B580" t="s">
        <v>95</v>
      </c>
      <c r="C580" t="s">
        <v>96</v>
      </c>
      <c r="D580" t="s">
        <v>20</v>
      </c>
      <c r="E580" t="s">
        <v>184</v>
      </c>
    </row>
    <row r="581" spans="1:5">
      <c r="A581" s="3">
        <v>46188</v>
      </c>
      <c r="B581" t="s">
        <v>100</v>
      </c>
      <c r="C581" t="s">
        <v>101</v>
      </c>
      <c r="D581" t="s">
        <v>37</v>
      </c>
      <c r="E581" t="s">
        <v>184</v>
      </c>
    </row>
    <row r="582" spans="1:5">
      <c r="A582" s="3">
        <v>46188</v>
      </c>
      <c r="B582" t="s">
        <v>104</v>
      </c>
      <c r="C582" t="s">
        <v>105</v>
      </c>
      <c r="D582" t="s">
        <v>13</v>
      </c>
      <c r="E582" t="s">
        <v>184</v>
      </c>
    </row>
    <row r="583" spans="1:5">
      <c r="A583" s="3">
        <v>46188</v>
      </c>
      <c r="B583" t="s">
        <v>109</v>
      </c>
      <c r="C583" t="s">
        <v>110</v>
      </c>
      <c r="D583" t="s">
        <v>25</v>
      </c>
      <c r="E583" t="s">
        <v>184</v>
      </c>
    </row>
    <row r="584" spans="1:5">
      <c r="A584" s="3">
        <v>46188</v>
      </c>
      <c r="B584" t="s">
        <v>114</v>
      </c>
      <c r="C584" t="s">
        <v>115</v>
      </c>
      <c r="D584" t="s">
        <v>31</v>
      </c>
      <c r="E584" t="s">
        <v>184</v>
      </c>
    </row>
    <row r="585" spans="1:5">
      <c r="A585" s="3">
        <v>46188</v>
      </c>
      <c r="B585" t="s">
        <v>117</v>
      </c>
      <c r="C585" t="s">
        <v>118</v>
      </c>
      <c r="D585" t="s">
        <v>20</v>
      </c>
      <c r="E585" t="s">
        <v>184</v>
      </c>
    </row>
    <row r="586" spans="1:5">
      <c r="A586" s="3">
        <v>46188</v>
      </c>
      <c r="B586" t="s">
        <v>121</v>
      </c>
      <c r="C586" t="s">
        <v>122</v>
      </c>
      <c r="D586" t="s">
        <v>37</v>
      </c>
      <c r="E586" t="s">
        <v>184</v>
      </c>
    </row>
    <row r="587" spans="1:5">
      <c r="A587" s="3">
        <v>46188</v>
      </c>
      <c r="B587" t="s">
        <v>125</v>
      </c>
      <c r="C587" t="s">
        <v>126</v>
      </c>
      <c r="D587" t="s">
        <v>13</v>
      </c>
      <c r="E587" t="s">
        <v>184</v>
      </c>
    </row>
    <row r="588" spans="1:5">
      <c r="A588" s="3">
        <v>46188</v>
      </c>
      <c r="B588" t="s">
        <v>128</v>
      </c>
      <c r="C588" t="s">
        <v>129</v>
      </c>
      <c r="D588" t="s">
        <v>25</v>
      </c>
      <c r="E588" t="s">
        <v>184</v>
      </c>
    </row>
    <row r="589" spans="1:5">
      <c r="A589" s="3">
        <v>46188</v>
      </c>
      <c r="B589" t="s">
        <v>131</v>
      </c>
      <c r="C589" t="s">
        <v>132</v>
      </c>
      <c r="D589" t="s">
        <v>31</v>
      </c>
      <c r="E589" t="s">
        <v>184</v>
      </c>
    </row>
    <row r="590" spans="1:5">
      <c r="A590" s="3">
        <v>46188</v>
      </c>
      <c r="B590" t="s">
        <v>135</v>
      </c>
      <c r="C590" t="s">
        <v>136</v>
      </c>
      <c r="D590" t="s">
        <v>20</v>
      </c>
      <c r="E590" t="s">
        <v>184</v>
      </c>
    </row>
    <row r="591" spans="1:5">
      <c r="A591" s="3">
        <v>46188</v>
      </c>
      <c r="B591" t="s">
        <v>138</v>
      </c>
      <c r="C591" t="s">
        <v>139</v>
      </c>
      <c r="D591" t="s">
        <v>37</v>
      </c>
      <c r="E591" t="s">
        <v>184</v>
      </c>
    </row>
    <row r="592" spans="1:5">
      <c r="A592" s="3">
        <v>46188</v>
      </c>
      <c r="B592" t="s">
        <v>142</v>
      </c>
      <c r="C592" t="s">
        <v>143</v>
      </c>
      <c r="D592" t="s">
        <v>13</v>
      </c>
      <c r="E592" t="s">
        <v>184</v>
      </c>
    </row>
    <row r="593" spans="1:5">
      <c r="A593" s="3">
        <v>46188</v>
      </c>
      <c r="B593" t="s">
        <v>146</v>
      </c>
      <c r="C593" t="s">
        <v>147</v>
      </c>
      <c r="D593" t="s">
        <v>25</v>
      </c>
      <c r="E593" t="s">
        <v>184</v>
      </c>
    </row>
    <row r="594" spans="1:5">
      <c r="A594" s="3">
        <v>46188</v>
      </c>
      <c r="B594" t="s">
        <v>149</v>
      </c>
      <c r="C594" t="s">
        <v>150</v>
      </c>
      <c r="D594" t="s">
        <v>31</v>
      </c>
      <c r="E594" t="s">
        <v>184</v>
      </c>
    </row>
    <row r="595" spans="1:5">
      <c r="A595" s="3">
        <v>46188</v>
      </c>
      <c r="B595" t="s">
        <v>152</v>
      </c>
      <c r="C595" t="s">
        <v>153</v>
      </c>
      <c r="D595" t="s">
        <v>20</v>
      </c>
      <c r="E595" t="s">
        <v>184</v>
      </c>
    </row>
    <row r="596" spans="1:5">
      <c r="A596" s="3">
        <v>46188</v>
      </c>
      <c r="B596" t="s">
        <v>156</v>
      </c>
      <c r="C596" t="s">
        <v>157</v>
      </c>
      <c r="D596" t="s">
        <v>37</v>
      </c>
      <c r="E596" t="s">
        <v>186</v>
      </c>
    </row>
    <row r="597" spans="1:5">
      <c r="A597" s="3">
        <v>46188</v>
      </c>
      <c r="B597" t="s">
        <v>160</v>
      </c>
      <c r="C597" t="s">
        <v>161</v>
      </c>
      <c r="D597" t="s">
        <v>13</v>
      </c>
      <c r="E597" t="s">
        <v>184</v>
      </c>
    </row>
    <row r="598" spans="1:5">
      <c r="A598" s="3">
        <v>46188</v>
      </c>
      <c r="B598" t="s">
        <v>163</v>
      </c>
      <c r="C598" t="s">
        <v>164</v>
      </c>
      <c r="D598" t="s">
        <v>25</v>
      </c>
      <c r="E598" t="s">
        <v>184</v>
      </c>
    </row>
    <row r="599" spans="1:5">
      <c r="A599" s="3">
        <v>46188</v>
      </c>
      <c r="B599" t="s">
        <v>166</v>
      </c>
      <c r="C599" t="s">
        <v>167</v>
      </c>
      <c r="D599" t="s">
        <v>31</v>
      </c>
      <c r="E599" t="s">
        <v>184</v>
      </c>
    </row>
    <row r="600" spans="1:5">
      <c r="A600" s="3">
        <v>46188</v>
      </c>
      <c r="B600" t="s">
        <v>170</v>
      </c>
      <c r="C600" t="s">
        <v>171</v>
      </c>
      <c r="D600" t="s">
        <v>20</v>
      </c>
      <c r="E600" t="s">
        <v>184</v>
      </c>
    </row>
    <row r="601" spans="1:5">
      <c r="A601" s="3">
        <v>46188</v>
      </c>
      <c r="B601" t="s">
        <v>174</v>
      </c>
      <c r="C601" t="s">
        <v>175</v>
      </c>
      <c r="D601" t="s">
        <v>37</v>
      </c>
      <c r="E601" t="s">
        <v>184</v>
      </c>
    </row>
    <row r="602" spans="1:5">
      <c r="A602" s="3">
        <v>46189</v>
      </c>
      <c r="B602" t="s">
        <v>10</v>
      </c>
      <c r="C602" t="s">
        <v>11</v>
      </c>
      <c r="D602" t="s">
        <v>13</v>
      </c>
      <c r="E602" t="s">
        <v>184</v>
      </c>
    </row>
    <row r="603" spans="1:5">
      <c r="A603" s="3">
        <v>46189</v>
      </c>
      <c r="B603" t="s">
        <v>17</v>
      </c>
      <c r="C603" t="s">
        <v>18</v>
      </c>
      <c r="D603" t="s">
        <v>20</v>
      </c>
      <c r="E603" t="s">
        <v>184</v>
      </c>
    </row>
    <row r="604" spans="1:5">
      <c r="A604" s="3">
        <v>46189</v>
      </c>
      <c r="B604" t="s">
        <v>23</v>
      </c>
      <c r="C604" t="s">
        <v>24</v>
      </c>
      <c r="D604" t="s">
        <v>25</v>
      </c>
      <c r="E604" t="s">
        <v>184</v>
      </c>
    </row>
    <row r="605" spans="1:5">
      <c r="A605" s="3">
        <v>46189</v>
      </c>
      <c r="B605" t="s">
        <v>29</v>
      </c>
      <c r="C605" t="s">
        <v>30</v>
      </c>
      <c r="D605" t="s">
        <v>31</v>
      </c>
      <c r="E605" t="s">
        <v>184</v>
      </c>
    </row>
    <row r="606" spans="1:5">
      <c r="A606" s="3">
        <v>46189</v>
      </c>
      <c r="B606" t="s">
        <v>35</v>
      </c>
      <c r="C606" t="s">
        <v>36</v>
      </c>
      <c r="D606" t="s">
        <v>37</v>
      </c>
      <c r="E606" t="s">
        <v>184</v>
      </c>
    </row>
    <row r="607" spans="1:5">
      <c r="A607" s="3">
        <v>46189</v>
      </c>
      <c r="B607" t="s">
        <v>40</v>
      </c>
      <c r="C607" t="s">
        <v>41</v>
      </c>
      <c r="D607" t="s">
        <v>13</v>
      </c>
      <c r="E607" t="s">
        <v>184</v>
      </c>
    </row>
    <row r="608" spans="1:5">
      <c r="A608" s="3">
        <v>46189</v>
      </c>
      <c r="B608" t="s">
        <v>44</v>
      </c>
      <c r="C608" t="s">
        <v>45</v>
      </c>
      <c r="D608" t="s">
        <v>25</v>
      </c>
      <c r="E608" t="s">
        <v>184</v>
      </c>
    </row>
    <row r="609" spans="1:5">
      <c r="A609" s="3">
        <v>46189</v>
      </c>
      <c r="B609" t="s">
        <v>49</v>
      </c>
      <c r="C609" t="s">
        <v>50</v>
      </c>
      <c r="D609" t="s">
        <v>31</v>
      </c>
      <c r="E609" t="s">
        <v>186</v>
      </c>
    </row>
    <row r="610" spans="1:5">
      <c r="A610" s="3">
        <v>46189</v>
      </c>
      <c r="B610" t="s">
        <v>54</v>
      </c>
      <c r="C610" t="s">
        <v>55</v>
      </c>
      <c r="D610" t="s">
        <v>20</v>
      </c>
      <c r="E610" t="s">
        <v>184</v>
      </c>
    </row>
    <row r="611" spans="1:5">
      <c r="A611" s="3">
        <v>46189</v>
      </c>
      <c r="B611" t="s">
        <v>58</v>
      </c>
      <c r="C611" t="s">
        <v>59</v>
      </c>
      <c r="D611" t="s">
        <v>37</v>
      </c>
      <c r="E611" t="s">
        <v>184</v>
      </c>
    </row>
    <row r="612" spans="1:5">
      <c r="A612" s="3">
        <v>46189</v>
      </c>
      <c r="B612" t="s">
        <v>63</v>
      </c>
      <c r="C612" t="s">
        <v>64</v>
      </c>
      <c r="D612" t="s">
        <v>13</v>
      </c>
      <c r="E612" t="s">
        <v>184</v>
      </c>
    </row>
    <row r="613" spans="1:5">
      <c r="A613" s="3">
        <v>46189</v>
      </c>
      <c r="B613" t="s">
        <v>67</v>
      </c>
      <c r="C613" t="s">
        <v>68</v>
      </c>
      <c r="D613" t="s">
        <v>25</v>
      </c>
      <c r="E613" t="s">
        <v>184</v>
      </c>
    </row>
    <row r="614" spans="1:5">
      <c r="A614" s="3">
        <v>46189</v>
      </c>
      <c r="B614" t="s">
        <v>71</v>
      </c>
      <c r="C614" t="s">
        <v>72</v>
      </c>
      <c r="D614" t="s">
        <v>31</v>
      </c>
      <c r="E614" t="s">
        <v>184</v>
      </c>
    </row>
    <row r="615" spans="1:5">
      <c r="A615" s="3">
        <v>46189</v>
      </c>
      <c r="B615" t="s">
        <v>75</v>
      </c>
      <c r="C615" t="s">
        <v>76</v>
      </c>
      <c r="D615" t="s">
        <v>20</v>
      </c>
      <c r="E615" t="s">
        <v>184</v>
      </c>
    </row>
    <row r="616" spans="1:5">
      <c r="A616" s="3">
        <v>46189</v>
      </c>
      <c r="B616" t="s">
        <v>79</v>
      </c>
      <c r="C616" t="s">
        <v>80</v>
      </c>
      <c r="D616" t="s">
        <v>37</v>
      </c>
      <c r="E616" t="s">
        <v>184</v>
      </c>
    </row>
    <row r="617" spans="1:5">
      <c r="A617" s="3">
        <v>46189</v>
      </c>
      <c r="B617" t="s">
        <v>82</v>
      </c>
      <c r="C617" t="s">
        <v>83</v>
      </c>
      <c r="D617" t="s">
        <v>13</v>
      </c>
      <c r="E617" t="s">
        <v>184</v>
      </c>
    </row>
    <row r="618" spans="1:5">
      <c r="A618" s="3">
        <v>46189</v>
      </c>
      <c r="B618" t="s">
        <v>87</v>
      </c>
      <c r="C618" t="s">
        <v>88</v>
      </c>
      <c r="D618" t="s">
        <v>25</v>
      </c>
      <c r="E618" t="s">
        <v>184</v>
      </c>
    </row>
    <row r="619" spans="1:5">
      <c r="A619" s="3">
        <v>46189</v>
      </c>
      <c r="B619" t="s">
        <v>91</v>
      </c>
      <c r="C619" t="s">
        <v>92</v>
      </c>
      <c r="D619" t="s">
        <v>31</v>
      </c>
      <c r="E619" t="s">
        <v>184</v>
      </c>
    </row>
    <row r="620" spans="1:5">
      <c r="A620" s="3">
        <v>46189</v>
      </c>
      <c r="B620" t="s">
        <v>95</v>
      </c>
      <c r="C620" t="s">
        <v>96</v>
      </c>
      <c r="D620" t="s">
        <v>20</v>
      </c>
      <c r="E620" t="s">
        <v>184</v>
      </c>
    </row>
    <row r="621" spans="1:5">
      <c r="A621" s="3">
        <v>46189</v>
      </c>
      <c r="B621" t="s">
        <v>100</v>
      </c>
      <c r="C621" t="s">
        <v>101</v>
      </c>
      <c r="D621" t="s">
        <v>37</v>
      </c>
      <c r="E621" t="s">
        <v>184</v>
      </c>
    </row>
    <row r="622" spans="1:5">
      <c r="A622" s="3">
        <v>46189</v>
      </c>
      <c r="B622" t="s">
        <v>104</v>
      </c>
      <c r="C622" t="s">
        <v>105</v>
      </c>
      <c r="D622" t="s">
        <v>13</v>
      </c>
      <c r="E622" t="s">
        <v>184</v>
      </c>
    </row>
    <row r="623" spans="1:5">
      <c r="A623" s="3">
        <v>46189</v>
      </c>
      <c r="B623" t="s">
        <v>109</v>
      </c>
      <c r="C623" t="s">
        <v>110</v>
      </c>
      <c r="D623" t="s">
        <v>25</v>
      </c>
      <c r="E623" t="s">
        <v>184</v>
      </c>
    </row>
    <row r="624" spans="1:5">
      <c r="A624" s="3">
        <v>46189</v>
      </c>
      <c r="B624" t="s">
        <v>114</v>
      </c>
      <c r="C624" t="s">
        <v>115</v>
      </c>
      <c r="D624" t="s">
        <v>31</v>
      </c>
      <c r="E624" t="s">
        <v>184</v>
      </c>
    </row>
    <row r="625" spans="1:5">
      <c r="A625" s="3">
        <v>46189</v>
      </c>
      <c r="B625" t="s">
        <v>117</v>
      </c>
      <c r="C625" t="s">
        <v>118</v>
      </c>
      <c r="D625" t="s">
        <v>20</v>
      </c>
      <c r="E625" t="s">
        <v>184</v>
      </c>
    </row>
    <row r="626" spans="1:5">
      <c r="A626" s="3">
        <v>46189</v>
      </c>
      <c r="B626" t="s">
        <v>121</v>
      </c>
      <c r="C626" t="s">
        <v>122</v>
      </c>
      <c r="D626" t="s">
        <v>37</v>
      </c>
      <c r="E626" t="s">
        <v>184</v>
      </c>
    </row>
    <row r="627" spans="1:5">
      <c r="A627" s="3">
        <v>46189</v>
      </c>
      <c r="B627" t="s">
        <v>125</v>
      </c>
      <c r="C627" t="s">
        <v>126</v>
      </c>
      <c r="D627" t="s">
        <v>13</v>
      </c>
      <c r="E627" t="s">
        <v>184</v>
      </c>
    </row>
    <row r="628" spans="1:5">
      <c r="A628" s="3">
        <v>46189</v>
      </c>
      <c r="B628" t="s">
        <v>128</v>
      </c>
      <c r="C628" t="s">
        <v>129</v>
      </c>
      <c r="D628" t="s">
        <v>25</v>
      </c>
      <c r="E628" t="s">
        <v>184</v>
      </c>
    </row>
    <row r="629" spans="1:5">
      <c r="A629" s="3">
        <v>46189</v>
      </c>
      <c r="B629" t="s">
        <v>131</v>
      </c>
      <c r="C629" t="s">
        <v>132</v>
      </c>
      <c r="D629" t="s">
        <v>31</v>
      </c>
      <c r="E629" t="s">
        <v>186</v>
      </c>
    </row>
    <row r="630" spans="1:5">
      <c r="A630" s="3">
        <v>46189</v>
      </c>
      <c r="B630" t="s">
        <v>135</v>
      </c>
      <c r="C630" t="s">
        <v>136</v>
      </c>
      <c r="D630" t="s">
        <v>20</v>
      </c>
      <c r="E630" t="s">
        <v>184</v>
      </c>
    </row>
    <row r="631" spans="1:5">
      <c r="A631" s="3">
        <v>46189</v>
      </c>
      <c r="B631" t="s">
        <v>138</v>
      </c>
      <c r="C631" t="s">
        <v>139</v>
      </c>
      <c r="D631" t="s">
        <v>37</v>
      </c>
      <c r="E631" t="s">
        <v>186</v>
      </c>
    </row>
    <row r="632" spans="1:5">
      <c r="A632" s="3">
        <v>46189</v>
      </c>
      <c r="B632" t="s">
        <v>142</v>
      </c>
      <c r="C632" t="s">
        <v>143</v>
      </c>
      <c r="D632" t="s">
        <v>13</v>
      </c>
      <c r="E632" t="s">
        <v>184</v>
      </c>
    </row>
    <row r="633" spans="1:5">
      <c r="A633" s="3">
        <v>46189</v>
      </c>
      <c r="B633" t="s">
        <v>146</v>
      </c>
      <c r="C633" t="s">
        <v>147</v>
      </c>
      <c r="D633" t="s">
        <v>25</v>
      </c>
      <c r="E633" t="s">
        <v>184</v>
      </c>
    </row>
    <row r="634" spans="1:5">
      <c r="A634" s="3">
        <v>46189</v>
      </c>
      <c r="B634" t="s">
        <v>149</v>
      </c>
      <c r="C634" t="s">
        <v>150</v>
      </c>
      <c r="D634" t="s">
        <v>31</v>
      </c>
      <c r="E634" t="s">
        <v>184</v>
      </c>
    </row>
    <row r="635" spans="1:5">
      <c r="A635" s="3">
        <v>46189</v>
      </c>
      <c r="B635" t="s">
        <v>152</v>
      </c>
      <c r="C635" t="s">
        <v>153</v>
      </c>
      <c r="D635" t="s">
        <v>20</v>
      </c>
      <c r="E635" t="s">
        <v>184</v>
      </c>
    </row>
    <row r="636" spans="1:5">
      <c r="A636" s="3">
        <v>46189</v>
      </c>
      <c r="B636" t="s">
        <v>156</v>
      </c>
      <c r="C636" t="s">
        <v>157</v>
      </c>
      <c r="D636" t="s">
        <v>37</v>
      </c>
      <c r="E636" t="s">
        <v>186</v>
      </c>
    </row>
    <row r="637" spans="1:5">
      <c r="A637" s="3">
        <v>46189</v>
      </c>
      <c r="B637" t="s">
        <v>160</v>
      </c>
      <c r="C637" t="s">
        <v>161</v>
      </c>
      <c r="D637" t="s">
        <v>13</v>
      </c>
      <c r="E637" t="s">
        <v>185</v>
      </c>
    </row>
    <row r="638" spans="1:5">
      <c r="A638" s="3">
        <v>46189</v>
      </c>
      <c r="B638" t="s">
        <v>163</v>
      </c>
      <c r="C638" t="s">
        <v>164</v>
      </c>
      <c r="D638" t="s">
        <v>25</v>
      </c>
      <c r="E638" t="s">
        <v>184</v>
      </c>
    </row>
    <row r="639" spans="1:5">
      <c r="A639" s="3">
        <v>46189</v>
      </c>
      <c r="B639" t="s">
        <v>166</v>
      </c>
      <c r="C639" t="s">
        <v>167</v>
      </c>
      <c r="D639" t="s">
        <v>31</v>
      </c>
      <c r="E639" t="s">
        <v>184</v>
      </c>
    </row>
    <row r="640" spans="1:5">
      <c r="A640" s="3">
        <v>46189</v>
      </c>
      <c r="B640" t="s">
        <v>170</v>
      </c>
      <c r="C640" t="s">
        <v>171</v>
      </c>
      <c r="D640" t="s">
        <v>20</v>
      </c>
      <c r="E640" t="s">
        <v>184</v>
      </c>
    </row>
    <row r="641" spans="1:5">
      <c r="A641" s="3">
        <v>46189</v>
      </c>
      <c r="B641" t="s">
        <v>174</v>
      </c>
      <c r="C641" t="s">
        <v>175</v>
      </c>
      <c r="D641" t="s">
        <v>37</v>
      </c>
      <c r="E641" t="s">
        <v>184</v>
      </c>
    </row>
    <row r="642" spans="1:5">
      <c r="A642" s="3">
        <v>46190</v>
      </c>
      <c r="B642" t="s">
        <v>10</v>
      </c>
      <c r="C642" t="s">
        <v>11</v>
      </c>
      <c r="D642" t="s">
        <v>13</v>
      </c>
      <c r="E642" t="s">
        <v>184</v>
      </c>
    </row>
    <row r="643" spans="1:5">
      <c r="A643" s="3">
        <v>46190</v>
      </c>
      <c r="B643" t="s">
        <v>17</v>
      </c>
      <c r="C643" t="s">
        <v>18</v>
      </c>
      <c r="D643" t="s">
        <v>20</v>
      </c>
      <c r="E643" t="s">
        <v>186</v>
      </c>
    </row>
    <row r="644" spans="1:5">
      <c r="A644" s="3">
        <v>46190</v>
      </c>
      <c r="B644" t="s">
        <v>23</v>
      </c>
      <c r="C644" t="s">
        <v>24</v>
      </c>
      <c r="D644" t="s">
        <v>25</v>
      </c>
      <c r="E644" t="s">
        <v>184</v>
      </c>
    </row>
    <row r="645" spans="1:5">
      <c r="A645" s="3">
        <v>46190</v>
      </c>
      <c r="B645" t="s">
        <v>29</v>
      </c>
      <c r="C645" t="s">
        <v>30</v>
      </c>
      <c r="D645" t="s">
        <v>31</v>
      </c>
      <c r="E645" t="s">
        <v>185</v>
      </c>
    </row>
    <row r="646" spans="1:5">
      <c r="A646" s="3">
        <v>46190</v>
      </c>
      <c r="B646" t="s">
        <v>35</v>
      </c>
      <c r="C646" t="s">
        <v>36</v>
      </c>
      <c r="D646" t="s">
        <v>37</v>
      </c>
      <c r="E646" t="s">
        <v>184</v>
      </c>
    </row>
    <row r="647" spans="1:5">
      <c r="A647" s="3">
        <v>46190</v>
      </c>
      <c r="B647" t="s">
        <v>40</v>
      </c>
      <c r="C647" t="s">
        <v>41</v>
      </c>
      <c r="D647" t="s">
        <v>13</v>
      </c>
      <c r="E647" t="s">
        <v>184</v>
      </c>
    </row>
    <row r="648" spans="1:5">
      <c r="A648" s="3">
        <v>46190</v>
      </c>
      <c r="B648" t="s">
        <v>44</v>
      </c>
      <c r="C648" t="s">
        <v>45</v>
      </c>
      <c r="D648" t="s">
        <v>25</v>
      </c>
      <c r="E648" t="s">
        <v>186</v>
      </c>
    </row>
    <row r="649" spans="1:5">
      <c r="A649" s="3">
        <v>46190</v>
      </c>
      <c r="B649" t="s">
        <v>49</v>
      </c>
      <c r="C649" t="s">
        <v>50</v>
      </c>
      <c r="D649" t="s">
        <v>31</v>
      </c>
      <c r="E649" t="s">
        <v>184</v>
      </c>
    </row>
    <row r="650" spans="1:5">
      <c r="A650" s="3">
        <v>46190</v>
      </c>
      <c r="B650" t="s">
        <v>54</v>
      </c>
      <c r="C650" t="s">
        <v>55</v>
      </c>
      <c r="D650" t="s">
        <v>20</v>
      </c>
      <c r="E650" t="s">
        <v>184</v>
      </c>
    </row>
    <row r="651" spans="1:5">
      <c r="A651" s="3">
        <v>46190</v>
      </c>
      <c r="B651" t="s">
        <v>58</v>
      </c>
      <c r="C651" t="s">
        <v>59</v>
      </c>
      <c r="D651" t="s">
        <v>37</v>
      </c>
      <c r="E651" t="s">
        <v>184</v>
      </c>
    </row>
    <row r="652" spans="1:5">
      <c r="A652" s="3">
        <v>46190</v>
      </c>
      <c r="B652" t="s">
        <v>63</v>
      </c>
      <c r="C652" t="s">
        <v>64</v>
      </c>
      <c r="D652" t="s">
        <v>13</v>
      </c>
      <c r="E652" t="s">
        <v>184</v>
      </c>
    </row>
    <row r="653" spans="1:5">
      <c r="A653" s="3">
        <v>46190</v>
      </c>
      <c r="B653" t="s">
        <v>67</v>
      </c>
      <c r="C653" t="s">
        <v>68</v>
      </c>
      <c r="D653" t="s">
        <v>25</v>
      </c>
      <c r="E653" t="s">
        <v>184</v>
      </c>
    </row>
    <row r="654" spans="1:5">
      <c r="A654" s="3">
        <v>46190</v>
      </c>
      <c r="B654" t="s">
        <v>71</v>
      </c>
      <c r="C654" t="s">
        <v>72</v>
      </c>
      <c r="D654" t="s">
        <v>31</v>
      </c>
      <c r="E654" t="s">
        <v>184</v>
      </c>
    </row>
    <row r="655" spans="1:5">
      <c r="A655" s="3">
        <v>46190</v>
      </c>
      <c r="B655" t="s">
        <v>75</v>
      </c>
      <c r="C655" t="s">
        <v>76</v>
      </c>
      <c r="D655" t="s">
        <v>20</v>
      </c>
      <c r="E655" t="s">
        <v>184</v>
      </c>
    </row>
    <row r="656" spans="1:5">
      <c r="A656" s="3">
        <v>46190</v>
      </c>
      <c r="B656" t="s">
        <v>79</v>
      </c>
      <c r="C656" t="s">
        <v>80</v>
      </c>
      <c r="D656" t="s">
        <v>37</v>
      </c>
      <c r="E656" t="s">
        <v>184</v>
      </c>
    </row>
    <row r="657" spans="1:5">
      <c r="A657" s="3">
        <v>46190</v>
      </c>
      <c r="B657" t="s">
        <v>82</v>
      </c>
      <c r="C657" t="s">
        <v>83</v>
      </c>
      <c r="D657" t="s">
        <v>13</v>
      </c>
      <c r="E657" t="s">
        <v>184</v>
      </c>
    </row>
    <row r="658" spans="1:5">
      <c r="A658" s="3">
        <v>46190</v>
      </c>
      <c r="B658" t="s">
        <v>87</v>
      </c>
      <c r="C658" t="s">
        <v>88</v>
      </c>
      <c r="D658" t="s">
        <v>25</v>
      </c>
      <c r="E658" t="s">
        <v>184</v>
      </c>
    </row>
    <row r="659" spans="1:5">
      <c r="A659" s="3">
        <v>46190</v>
      </c>
      <c r="B659" t="s">
        <v>91</v>
      </c>
      <c r="C659" t="s">
        <v>92</v>
      </c>
      <c r="D659" t="s">
        <v>31</v>
      </c>
      <c r="E659" t="s">
        <v>184</v>
      </c>
    </row>
    <row r="660" spans="1:5">
      <c r="A660" s="3">
        <v>46190</v>
      </c>
      <c r="B660" t="s">
        <v>95</v>
      </c>
      <c r="C660" t="s">
        <v>96</v>
      </c>
      <c r="D660" t="s">
        <v>20</v>
      </c>
      <c r="E660" t="s">
        <v>184</v>
      </c>
    </row>
    <row r="661" spans="1:5">
      <c r="A661" s="3">
        <v>46190</v>
      </c>
      <c r="B661" t="s">
        <v>100</v>
      </c>
      <c r="C661" t="s">
        <v>101</v>
      </c>
      <c r="D661" t="s">
        <v>37</v>
      </c>
      <c r="E661" t="s">
        <v>184</v>
      </c>
    </row>
    <row r="662" spans="1:5">
      <c r="A662" s="3">
        <v>46190</v>
      </c>
      <c r="B662" t="s">
        <v>104</v>
      </c>
      <c r="C662" t="s">
        <v>105</v>
      </c>
      <c r="D662" t="s">
        <v>13</v>
      </c>
      <c r="E662" t="s">
        <v>184</v>
      </c>
    </row>
    <row r="663" spans="1:5">
      <c r="A663" s="3">
        <v>46190</v>
      </c>
      <c r="B663" t="s">
        <v>109</v>
      </c>
      <c r="C663" t="s">
        <v>110</v>
      </c>
      <c r="D663" t="s">
        <v>25</v>
      </c>
      <c r="E663" t="s">
        <v>184</v>
      </c>
    </row>
    <row r="664" spans="1:5">
      <c r="A664" s="3">
        <v>46190</v>
      </c>
      <c r="B664" t="s">
        <v>114</v>
      </c>
      <c r="C664" t="s">
        <v>115</v>
      </c>
      <c r="D664" t="s">
        <v>31</v>
      </c>
      <c r="E664" t="s">
        <v>184</v>
      </c>
    </row>
    <row r="665" spans="1:5">
      <c r="A665" s="3">
        <v>46190</v>
      </c>
      <c r="B665" t="s">
        <v>117</v>
      </c>
      <c r="C665" t="s">
        <v>118</v>
      </c>
      <c r="D665" t="s">
        <v>20</v>
      </c>
      <c r="E665" t="s">
        <v>184</v>
      </c>
    </row>
    <row r="666" spans="1:5">
      <c r="A666" s="3">
        <v>46190</v>
      </c>
      <c r="B666" t="s">
        <v>121</v>
      </c>
      <c r="C666" t="s">
        <v>122</v>
      </c>
      <c r="D666" t="s">
        <v>37</v>
      </c>
      <c r="E666" t="s">
        <v>184</v>
      </c>
    </row>
    <row r="667" spans="1:5">
      <c r="A667" s="3">
        <v>46190</v>
      </c>
      <c r="B667" t="s">
        <v>125</v>
      </c>
      <c r="C667" t="s">
        <v>126</v>
      </c>
      <c r="D667" t="s">
        <v>13</v>
      </c>
      <c r="E667" t="s">
        <v>184</v>
      </c>
    </row>
    <row r="668" spans="1:5">
      <c r="A668" s="3">
        <v>46190</v>
      </c>
      <c r="B668" t="s">
        <v>128</v>
      </c>
      <c r="C668" t="s">
        <v>129</v>
      </c>
      <c r="D668" t="s">
        <v>25</v>
      </c>
      <c r="E668" t="s">
        <v>184</v>
      </c>
    </row>
    <row r="669" spans="1:5">
      <c r="A669" s="3">
        <v>46190</v>
      </c>
      <c r="B669" t="s">
        <v>131</v>
      </c>
      <c r="C669" t="s">
        <v>132</v>
      </c>
      <c r="D669" t="s">
        <v>31</v>
      </c>
      <c r="E669" t="s">
        <v>184</v>
      </c>
    </row>
    <row r="670" spans="1:5">
      <c r="A670" s="3">
        <v>46190</v>
      </c>
      <c r="B670" t="s">
        <v>135</v>
      </c>
      <c r="C670" t="s">
        <v>136</v>
      </c>
      <c r="D670" t="s">
        <v>20</v>
      </c>
      <c r="E670" t="s">
        <v>184</v>
      </c>
    </row>
    <row r="671" spans="1:5">
      <c r="A671" s="3">
        <v>46190</v>
      </c>
      <c r="B671" t="s">
        <v>138</v>
      </c>
      <c r="C671" t="s">
        <v>139</v>
      </c>
      <c r="D671" t="s">
        <v>37</v>
      </c>
      <c r="E671" t="s">
        <v>184</v>
      </c>
    </row>
    <row r="672" spans="1:5">
      <c r="A672" s="3">
        <v>46190</v>
      </c>
      <c r="B672" t="s">
        <v>142</v>
      </c>
      <c r="C672" t="s">
        <v>143</v>
      </c>
      <c r="D672" t="s">
        <v>13</v>
      </c>
      <c r="E672" t="s">
        <v>184</v>
      </c>
    </row>
    <row r="673" spans="1:5">
      <c r="A673" s="3">
        <v>46190</v>
      </c>
      <c r="B673" t="s">
        <v>146</v>
      </c>
      <c r="C673" t="s">
        <v>147</v>
      </c>
      <c r="D673" t="s">
        <v>25</v>
      </c>
      <c r="E673" t="s">
        <v>184</v>
      </c>
    </row>
    <row r="674" spans="1:5">
      <c r="A674" s="3">
        <v>46190</v>
      </c>
      <c r="B674" t="s">
        <v>149</v>
      </c>
      <c r="C674" t="s">
        <v>150</v>
      </c>
      <c r="D674" t="s">
        <v>31</v>
      </c>
      <c r="E674" t="s">
        <v>184</v>
      </c>
    </row>
    <row r="675" spans="1:5">
      <c r="A675" s="3">
        <v>46190</v>
      </c>
      <c r="B675" t="s">
        <v>152</v>
      </c>
      <c r="C675" t="s">
        <v>153</v>
      </c>
      <c r="D675" t="s">
        <v>20</v>
      </c>
      <c r="E675" t="s">
        <v>184</v>
      </c>
    </row>
    <row r="676" spans="1:5">
      <c r="A676" s="3">
        <v>46190</v>
      </c>
      <c r="B676" t="s">
        <v>156</v>
      </c>
      <c r="C676" t="s">
        <v>157</v>
      </c>
      <c r="D676" t="s">
        <v>37</v>
      </c>
      <c r="E676" t="s">
        <v>184</v>
      </c>
    </row>
    <row r="677" spans="1:5">
      <c r="A677" s="3">
        <v>46190</v>
      </c>
      <c r="B677" t="s">
        <v>160</v>
      </c>
      <c r="C677" t="s">
        <v>161</v>
      </c>
      <c r="D677" t="s">
        <v>13</v>
      </c>
      <c r="E677" t="s">
        <v>184</v>
      </c>
    </row>
    <row r="678" spans="1:5">
      <c r="A678" s="3">
        <v>46190</v>
      </c>
      <c r="B678" t="s">
        <v>163</v>
      </c>
      <c r="C678" t="s">
        <v>164</v>
      </c>
      <c r="D678" t="s">
        <v>25</v>
      </c>
      <c r="E678" t="s">
        <v>186</v>
      </c>
    </row>
    <row r="679" spans="1:5">
      <c r="A679" s="3">
        <v>46190</v>
      </c>
      <c r="B679" t="s">
        <v>166</v>
      </c>
      <c r="C679" t="s">
        <v>167</v>
      </c>
      <c r="D679" t="s">
        <v>31</v>
      </c>
      <c r="E679" t="s">
        <v>186</v>
      </c>
    </row>
    <row r="680" spans="1:5">
      <c r="A680" s="3">
        <v>46190</v>
      </c>
      <c r="B680" t="s">
        <v>170</v>
      </c>
      <c r="C680" t="s">
        <v>171</v>
      </c>
      <c r="D680" t="s">
        <v>20</v>
      </c>
      <c r="E680" t="s">
        <v>184</v>
      </c>
    </row>
    <row r="681" spans="1:5">
      <c r="A681" s="3">
        <v>46190</v>
      </c>
      <c r="B681" t="s">
        <v>174</v>
      </c>
      <c r="C681" t="s">
        <v>175</v>
      </c>
      <c r="D681" t="s">
        <v>37</v>
      </c>
      <c r="E681" t="s">
        <v>184</v>
      </c>
    </row>
    <row r="682" spans="1:5">
      <c r="A682" s="3">
        <v>46191</v>
      </c>
      <c r="B682" t="s">
        <v>10</v>
      </c>
      <c r="C682" t="s">
        <v>11</v>
      </c>
      <c r="D682" t="s">
        <v>13</v>
      </c>
      <c r="E682" t="s">
        <v>184</v>
      </c>
    </row>
    <row r="683" spans="1:5">
      <c r="A683" s="3">
        <v>46191</v>
      </c>
      <c r="B683" t="s">
        <v>17</v>
      </c>
      <c r="C683" t="s">
        <v>18</v>
      </c>
      <c r="D683" t="s">
        <v>20</v>
      </c>
      <c r="E683" t="s">
        <v>186</v>
      </c>
    </row>
    <row r="684" spans="1:5">
      <c r="A684" s="3">
        <v>46191</v>
      </c>
      <c r="B684" t="s">
        <v>23</v>
      </c>
      <c r="C684" t="s">
        <v>24</v>
      </c>
      <c r="D684" t="s">
        <v>25</v>
      </c>
      <c r="E684" t="s">
        <v>184</v>
      </c>
    </row>
    <row r="685" spans="1:5">
      <c r="A685" s="3">
        <v>46191</v>
      </c>
      <c r="B685" t="s">
        <v>29</v>
      </c>
      <c r="C685" t="s">
        <v>30</v>
      </c>
      <c r="D685" t="s">
        <v>31</v>
      </c>
      <c r="E685" t="s">
        <v>184</v>
      </c>
    </row>
    <row r="686" spans="1:5">
      <c r="A686" s="3">
        <v>46191</v>
      </c>
      <c r="B686" t="s">
        <v>35</v>
      </c>
      <c r="C686" t="s">
        <v>36</v>
      </c>
      <c r="D686" t="s">
        <v>37</v>
      </c>
      <c r="E686" t="s">
        <v>184</v>
      </c>
    </row>
    <row r="687" spans="1:5">
      <c r="A687" s="3">
        <v>46191</v>
      </c>
      <c r="B687" t="s">
        <v>40</v>
      </c>
      <c r="C687" t="s">
        <v>41</v>
      </c>
      <c r="D687" t="s">
        <v>13</v>
      </c>
      <c r="E687" t="s">
        <v>184</v>
      </c>
    </row>
    <row r="688" spans="1:5">
      <c r="A688" s="3">
        <v>46191</v>
      </c>
      <c r="B688" t="s">
        <v>44</v>
      </c>
      <c r="C688" t="s">
        <v>45</v>
      </c>
      <c r="D688" t="s">
        <v>25</v>
      </c>
      <c r="E688" t="s">
        <v>186</v>
      </c>
    </row>
    <row r="689" spans="1:5">
      <c r="A689" s="3">
        <v>46191</v>
      </c>
      <c r="B689" t="s">
        <v>49</v>
      </c>
      <c r="C689" t="s">
        <v>50</v>
      </c>
      <c r="D689" t="s">
        <v>31</v>
      </c>
      <c r="E689" t="s">
        <v>186</v>
      </c>
    </row>
    <row r="690" spans="1:5">
      <c r="A690" s="3">
        <v>46191</v>
      </c>
      <c r="B690" t="s">
        <v>54</v>
      </c>
      <c r="C690" t="s">
        <v>55</v>
      </c>
      <c r="D690" t="s">
        <v>20</v>
      </c>
      <c r="E690" t="s">
        <v>184</v>
      </c>
    </row>
    <row r="691" spans="1:5">
      <c r="A691" s="3">
        <v>46191</v>
      </c>
      <c r="B691" t="s">
        <v>58</v>
      </c>
      <c r="C691" t="s">
        <v>59</v>
      </c>
      <c r="D691" t="s">
        <v>37</v>
      </c>
      <c r="E691" t="s">
        <v>184</v>
      </c>
    </row>
    <row r="692" spans="1:5">
      <c r="A692" s="3">
        <v>46191</v>
      </c>
      <c r="B692" t="s">
        <v>63</v>
      </c>
      <c r="C692" t="s">
        <v>64</v>
      </c>
      <c r="D692" t="s">
        <v>13</v>
      </c>
      <c r="E692" t="s">
        <v>184</v>
      </c>
    </row>
    <row r="693" spans="1:5">
      <c r="A693" s="3">
        <v>46191</v>
      </c>
      <c r="B693" t="s">
        <v>67</v>
      </c>
      <c r="C693" t="s">
        <v>68</v>
      </c>
      <c r="D693" t="s">
        <v>25</v>
      </c>
      <c r="E693" t="s">
        <v>184</v>
      </c>
    </row>
    <row r="694" spans="1:5">
      <c r="A694" s="3">
        <v>46191</v>
      </c>
      <c r="B694" t="s">
        <v>71</v>
      </c>
      <c r="C694" t="s">
        <v>72</v>
      </c>
      <c r="D694" t="s">
        <v>31</v>
      </c>
      <c r="E694" t="s">
        <v>184</v>
      </c>
    </row>
    <row r="695" spans="1:5">
      <c r="A695" s="3">
        <v>46191</v>
      </c>
      <c r="B695" t="s">
        <v>75</v>
      </c>
      <c r="C695" t="s">
        <v>76</v>
      </c>
      <c r="D695" t="s">
        <v>20</v>
      </c>
      <c r="E695" t="s">
        <v>184</v>
      </c>
    </row>
    <row r="696" spans="1:5">
      <c r="A696" s="3">
        <v>46191</v>
      </c>
      <c r="B696" t="s">
        <v>79</v>
      </c>
      <c r="C696" t="s">
        <v>80</v>
      </c>
      <c r="D696" t="s">
        <v>37</v>
      </c>
      <c r="E696" t="s">
        <v>186</v>
      </c>
    </row>
    <row r="697" spans="1:5">
      <c r="A697" s="3">
        <v>46191</v>
      </c>
      <c r="B697" t="s">
        <v>82</v>
      </c>
      <c r="C697" t="s">
        <v>83</v>
      </c>
      <c r="D697" t="s">
        <v>13</v>
      </c>
      <c r="E697" t="s">
        <v>184</v>
      </c>
    </row>
    <row r="698" spans="1:5">
      <c r="A698" s="3">
        <v>46191</v>
      </c>
      <c r="B698" t="s">
        <v>87</v>
      </c>
      <c r="C698" t="s">
        <v>88</v>
      </c>
      <c r="D698" t="s">
        <v>25</v>
      </c>
      <c r="E698" t="s">
        <v>184</v>
      </c>
    </row>
    <row r="699" spans="1:5">
      <c r="A699" s="3">
        <v>46191</v>
      </c>
      <c r="B699" t="s">
        <v>91</v>
      </c>
      <c r="C699" t="s">
        <v>92</v>
      </c>
      <c r="D699" t="s">
        <v>31</v>
      </c>
      <c r="E699" t="s">
        <v>184</v>
      </c>
    </row>
    <row r="700" spans="1:5">
      <c r="A700" s="3">
        <v>46191</v>
      </c>
      <c r="B700" t="s">
        <v>95</v>
      </c>
      <c r="C700" t="s">
        <v>96</v>
      </c>
      <c r="D700" t="s">
        <v>20</v>
      </c>
      <c r="E700" t="s">
        <v>184</v>
      </c>
    </row>
    <row r="701" spans="1:5">
      <c r="A701" s="3">
        <v>46191</v>
      </c>
      <c r="B701" t="s">
        <v>100</v>
      </c>
      <c r="C701" t="s">
        <v>101</v>
      </c>
      <c r="D701" t="s">
        <v>37</v>
      </c>
      <c r="E701" t="s">
        <v>184</v>
      </c>
    </row>
    <row r="702" spans="1:5">
      <c r="A702" s="3">
        <v>46191</v>
      </c>
      <c r="B702" t="s">
        <v>104</v>
      </c>
      <c r="C702" t="s">
        <v>105</v>
      </c>
      <c r="D702" t="s">
        <v>13</v>
      </c>
      <c r="E702" t="s">
        <v>184</v>
      </c>
    </row>
    <row r="703" spans="1:5">
      <c r="A703" s="3">
        <v>46191</v>
      </c>
      <c r="B703" t="s">
        <v>109</v>
      </c>
      <c r="C703" t="s">
        <v>110</v>
      </c>
      <c r="D703" t="s">
        <v>25</v>
      </c>
      <c r="E703" t="s">
        <v>184</v>
      </c>
    </row>
    <row r="704" spans="1:5">
      <c r="A704" s="3">
        <v>46191</v>
      </c>
      <c r="B704" t="s">
        <v>114</v>
      </c>
      <c r="C704" t="s">
        <v>115</v>
      </c>
      <c r="D704" t="s">
        <v>31</v>
      </c>
      <c r="E704" t="s">
        <v>184</v>
      </c>
    </row>
    <row r="705" spans="1:5">
      <c r="A705" s="3">
        <v>46191</v>
      </c>
      <c r="B705" t="s">
        <v>117</v>
      </c>
      <c r="C705" t="s">
        <v>118</v>
      </c>
      <c r="D705" t="s">
        <v>20</v>
      </c>
      <c r="E705" t="s">
        <v>186</v>
      </c>
    </row>
    <row r="706" spans="1:5">
      <c r="A706" s="3">
        <v>46191</v>
      </c>
      <c r="B706" t="s">
        <v>121</v>
      </c>
      <c r="C706" t="s">
        <v>122</v>
      </c>
      <c r="D706" t="s">
        <v>37</v>
      </c>
      <c r="E706" t="s">
        <v>184</v>
      </c>
    </row>
    <row r="707" spans="1:5">
      <c r="A707" s="3">
        <v>46191</v>
      </c>
      <c r="B707" t="s">
        <v>125</v>
      </c>
      <c r="C707" t="s">
        <v>126</v>
      </c>
      <c r="D707" t="s">
        <v>13</v>
      </c>
      <c r="E707" t="s">
        <v>185</v>
      </c>
    </row>
    <row r="708" spans="1:5">
      <c r="A708" s="3">
        <v>46191</v>
      </c>
      <c r="B708" t="s">
        <v>128</v>
      </c>
      <c r="C708" t="s">
        <v>129</v>
      </c>
      <c r="D708" t="s">
        <v>25</v>
      </c>
      <c r="E708" t="s">
        <v>184</v>
      </c>
    </row>
    <row r="709" spans="1:5">
      <c r="A709" s="3">
        <v>46191</v>
      </c>
      <c r="B709" t="s">
        <v>131</v>
      </c>
      <c r="C709" t="s">
        <v>132</v>
      </c>
      <c r="D709" t="s">
        <v>31</v>
      </c>
      <c r="E709" t="s">
        <v>184</v>
      </c>
    </row>
    <row r="710" spans="1:5">
      <c r="A710" s="3">
        <v>46191</v>
      </c>
      <c r="B710" t="s">
        <v>135</v>
      </c>
      <c r="C710" t="s">
        <v>136</v>
      </c>
      <c r="D710" t="s">
        <v>20</v>
      </c>
      <c r="E710" t="s">
        <v>184</v>
      </c>
    </row>
    <row r="711" spans="1:5">
      <c r="A711" s="3">
        <v>46191</v>
      </c>
      <c r="B711" t="s">
        <v>138</v>
      </c>
      <c r="C711" t="s">
        <v>139</v>
      </c>
      <c r="D711" t="s">
        <v>37</v>
      </c>
      <c r="E711" t="s">
        <v>184</v>
      </c>
    </row>
    <row r="712" spans="1:5">
      <c r="A712" s="3">
        <v>46191</v>
      </c>
      <c r="B712" t="s">
        <v>142</v>
      </c>
      <c r="C712" t="s">
        <v>143</v>
      </c>
      <c r="D712" t="s">
        <v>13</v>
      </c>
      <c r="E712" t="s">
        <v>184</v>
      </c>
    </row>
    <row r="713" spans="1:5">
      <c r="A713" s="3">
        <v>46191</v>
      </c>
      <c r="B713" t="s">
        <v>146</v>
      </c>
      <c r="C713" t="s">
        <v>147</v>
      </c>
      <c r="D713" t="s">
        <v>25</v>
      </c>
      <c r="E713" t="s">
        <v>184</v>
      </c>
    </row>
    <row r="714" spans="1:5">
      <c r="A714" s="3">
        <v>46191</v>
      </c>
      <c r="B714" t="s">
        <v>149</v>
      </c>
      <c r="C714" t="s">
        <v>150</v>
      </c>
      <c r="D714" t="s">
        <v>31</v>
      </c>
      <c r="E714" t="s">
        <v>184</v>
      </c>
    </row>
    <row r="715" spans="1:5">
      <c r="A715" s="3">
        <v>46191</v>
      </c>
      <c r="B715" t="s">
        <v>152</v>
      </c>
      <c r="C715" t="s">
        <v>153</v>
      </c>
      <c r="D715" t="s">
        <v>20</v>
      </c>
      <c r="E715" t="s">
        <v>184</v>
      </c>
    </row>
    <row r="716" spans="1:5">
      <c r="A716" s="3">
        <v>46191</v>
      </c>
      <c r="B716" t="s">
        <v>156</v>
      </c>
      <c r="C716" t="s">
        <v>157</v>
      </c>
      <c r="D716" t="s">
        <v>37</v>
      </c>
      <c r="E716" t="s">
        <v>185</v>
      </c>
    </row>
    <row r="717" spans="1:5">
      <c r="A717" s="3">
        <v>46191</v>
      </c>
      <c r="B717" t="s">
        <v>160</v>
      </c>
      <c r="C717" t="s">
        <v>161</v>
      </c>
      <c r="D717" t="s">
        <v>13</v>
      </c>
      <c r="E717" t="s">
        <v>184</v>
      </c>
    </row>
    <row r="718" spans="1:5">
      <c r="A718" s="3">
        <v>46191</v>
      </c>
      <c r="B718" t="s">
        <v>163</v>
      </c>
      <c r="C718" t="s">
        <v>164</v>
      </c>
      <c r="D718" t="s">
        <v>25</v>
      </c>
      <c r="E718" t="s">
        <v>184</v>
      </c>
    </row>
    <row r="719" spans="1:5">
      <c r="A719" s="3">
        <v>46191</v>
      </c>
      <c r="B719" t="s">
        <v>166</v>
      </c>
      <c r="C719" t="s">
        <v>167</v>
      </c>
      <c r="D719" t="s">
        <v>31</v>
      </c>
      <c r="E719" t="s">
        <v>184</v>
      </c>
    </row>
    <row r="720" spans="1:5">
      <c r="A720" s="3">
        <v>46191</v>
      </c>
      <c r="B720" t="s">
        <v>170</v>
      </c>
      <c r="C720" t="s">
        <v>171</v>
      </c>
      <c r="D720" t="s">
        <v>20</v>
      </c>
      <c r="E720" t="s">
        <v>184</v>
      </c>
    </row>
    <row r="721" spans="1:5">
      <c r="A721" s="3">
        <v>46191</v>
      </c>
      <c r="B721" t="s">
        <v>174</v>
      </c>
      <c r="C721" t="s">
        <v>175</v>
      </c>
      <c r="D721" t="s">
        <v>37</v>
      </c>
      <c r="E721" t="s">
        <v>184</v>
      </c>
    </row>
    <row r="722" spans="1:5">
      <c r="A722" s="3">
        <v>46192</v>
      </c>
      <c r="B722" t="s">
        <v>10</v>
      </c>
      <c r="C722" t="s">
        <v>11</v>
      </c>
      <c r="D722" t="s">
        <v>13</v>
      </c>
      <c r="E722" t="s">
        <v>184</v>
      </c>
    </row>
    <row r="723" spans="1:5">
      <c r="A723" s="3">
        <v>46192</v>
      </c>
      <c r="B723" t="s">
        <v>17</v>
      </c>
      <c r="C723" t="s">
        <v>18</v>
      </c>
      <c r="D723" t="s">
        <v>20</v>
      </c>
      <c r="E723" t="s">
        <v>184</v>
      </c>
    </row>
    <row r="724" spans="1:5">
      <c r="A724" s="3">
        <v>46192</v>
      </c>
      <c r="B724" t="s">
        <v>23</v>
      </c>
      <c r="C724" t="s">
        <v>24</v>
      </c>
      <c r="D724" t="s">
        <v>25</v>
      </c>
      <c r="E724" t="s">
        <v>186</v>
      </c>
    </row>
    <row r="725" spans="1:5">
      <c r="A725" s="3">
        <v>46192</v>
      </c>
      <c r="B725" t="s">
        <v>29</v>
      </c>
      <c r="C725" t="s">
        <v>30</v>
      </c>
      <c r="D725" t="s">
        <v>31</v>
      </c>
      <c r="E725" t="s">
        <v>184</v>
      </c>
    </row>
    <row r="726" spans="1:5">
      <c r="A726" s="3">
        <v>46192</v>
      </c>
      <c r="B726" t="s">
        <v>35</v>
      </c>
      <c r="C726" t="s">
        <v>36</v>
      </c>
      <c r="D726" t="s">
        <v>37</v>
      </c>
      <c r="E726" t="s">
        <v>187</v>
      </c>
    </row>
    <row r="727" spans="1:5">
      <c r="A727" s="3">
        <v>46192</v>
      </c>
      <c r="B727" t="s">
        <v>40</v>
      </c>
      <c r="C727" t="s">
        <v>41</v>
      </c>
      <c r="D727" t="s">
        <v>13</v>
      </c>
      <c r="E727" t="s">
        <v>184</v>
      </c>
    </row>
    <row r="728" spans="1:5">
      <c r="A728" s="3">
        <v>46192</v>
      </c>
      <c r="B728" t="s">
        <v>44</v>
      </c>
      <c r="C728" t="s">
        <v>45</v>
      </c>
      <c r="D728" t="s">
        <v>25</v>
      </c>
      <c r="E728" t="s">
        <v>184</v>
      </c>
    </row>
    <row r="729" spans="1:5">
      <c r="A729" s="3">
        <v>46192</v>
      </c>
      <c r="B729" t="s">
        <v>49</v>
      </c>
      <c r="C729" t="s">
        <v>50</v>
      </c>
      <c r="D729" t="s">
        <v>31</v>
      </c>
      <c r="E729" t="s">
        <v>184</v>
      </c>
    </row>
    <row r="730" spans="1:5">
      <c r="A730" s="3">
        <v>46192</v>
      </c>
      <c r="B730" t="s">
        <v>54</v>
      </c>
      <c r="C730" t="s">
        <v>55</v>
      </c>
      <c r="D730" t="s">
        <v>20</v>
      </c>
      <c r="E730" t="s">
        <v>184</v>
      </c>
    </row>
    <row r="731" spans="1:5">
      <c r="A731" s="3">
        <v>46192</v>
      </c>
      <c r="B731" t="s">
        <v>58</v>
      </c>
      <c r="C731" t="s">
        <v>59</v>
      </c>
      <c r="D731" t="s">
        <v>37</v>
      </c>
      <c r="E731" t="s">
        <v>184</v>
      </c>
    </row>
    <row r="732" spans="1:5">
      <c r="A732" s="3">
        <v>46192</v>
      </c>
      <c r="B732" t="s">
        <v>63</v>
      </c>
      <c r="C732" t="s">
        <v>64</v>
      </c>
      <c r="D732" t="s">
        <v>13</v>
      </c>
      <c r="E732" t="s">
        <v>184</v>
      </c>
    </row>
    <row r="733" spans="1:5">
      <c r="A733" s="3">
        <v>46192</v>
      </c>
      <c r="B733" t="s">
        <v>67</v>
      </c>
      <c r="C733" t="s">
        <v>68</v>
      </c>
      <c r="D733" t="s">
        <v>25</v>
      </c>
      <c r="E733" t="s">
        <v>184</v>
      </c>
    </row>
    <row r="734" spans="1:5">
      <c r="A734" s="3">
        <v>46192</v>
      </c>
      <c r="B734" t="s">
        <v>71</v>
      </c>
      <c r="C734" t="s">
        <v>72</v>
      </c>
      <c r="D734" t="s">
        <v>31</v>
      </c>
      <c r="E734" t="s">
        <v>184</v>
      </c>
    </row>
    <row r="735" spans="1:5">
      <c r="A735" s="3">
        <v>46192</v>
      </c>
      <c r="B735" t="s">
        <v>75</v>
      </c>
      <c r="C735" t="s">
        <v>76</v>
      </c>
      <c r="D735" t="s">
        <v>20</v>
      </c>
      <c r="E735" t="s">
        <v>186</v>
      </c>
    </row>
    <row r="736" spans="1:5">
      <c r="A736" s="3">
        <v>46192</v>
      </c>
      <c r="B736" t="s">
        <v>79</v>
      </c>
      <c r="C736" t="s">
        <v>80</v>
      </c>
      <c r="D736" t="s">
        <v>37</v>
      </c>
      <c r="E736" t="s">
        <v>184</v>
      </c>
    </row>
    <row r="737" spans="1:5">
      <c r="A737" s="3">
        <v>46192</v>
      </c>
      <c r="B737" t="s">
        <v>82</v>
      </c>
      <c r="C737" t="s">
        <v>83</v>
      </c>
      <c r="D737" t="s">
        <v>13</v>
      </c>
      <c r="E737" t="s">
        <v>184</v>
      </c>
    </row>
    <row r="738" spans="1:5">
      <c r="A738" s="3">
        <v>46192</v>
      </c>
      <c r="B738" t="s">
        <v>87</v>
      </c>
      <c r="C738" t="s">
        <v>88</v>
      </c>
      <c r="D738" t="s">
        <v>25</v>
      </c>
      <c r="E738" t="s">
        <v>184</v>
      </c>
    </row>
    <row r="739" spans="1:5">
      <c r="A739" s="3">
        <v>46192</v>
      </c>
      <c r="B739" t="s">
        <v>91</v>
      </c>
      <c r="C739" t="s">
        <v>92</v>
      </c>
      <c r="D739" t="s">
        <v>31</v>
      </c>
      <c r="E739" t="s">
        <v>184</v>
      </c>
    </row>
    <row r="740" spans="1:5">
      <c r="A740" s="3">
        <v>46192</v>
      </c>
      <c r="B740" t="s">
        <v>95</v>
      </c>
      <c r="C740" t="s">
        <v>96</v>
      </c>
      <c r="D740" t="s">
        <v>20</v>
      </c>
      <c r="E740" t="s">
        <v>184</v>
      </c>
    </row>
    <row r="741" spans="1:5">
      <c r="A741" s="3">
        <v>46192</v>
      </c>
      <c r="B741" t="s">
        <v>100</v>
      </c>
      <c r="C741" t="s">
        <v>101</v>
      </c>
      <c r="D741" t="s">
        <v>37</v>
      </c>
      <c r="E741" t="s">
        <v>184</v>
      </c>
    </row>
    <row r="742" spans="1:5">
      <c r="A742" s="3">
        <v>46192</v>
      </c>
      <c r="B742" t="s">
        <v>104</v>
      </c>
      <c r="C742" t="s">
        <v>105</v>
      </c>
      <c r="D742" t="s">
        <v>13</v>
      </c>
      <c r="E742" t="s">
        <v>184</v>
      </c>
    </row>
    <row r="743" spans="1:5">
      <c r="A743" s="3">
        <v>46192</v>
      </c>
      <c r="B743" t="s">
        <v>109</v>
      </c>
      <c r="C743" t="s">
        <v>110</v>
      </c>
      <c r="D743" t="s">
        <v>25</v>
      </c>
      <c r="E743" t="s">
        <v>184</v>
      </c>
    </row>
    <row r="744" spans="1:5">
      <c r="A744" s="3">
        <v>46192</v>
      </c>
      <c r="B744" t="s">
        <v>114</v>
      </c>
      <c r="C744" t="s">
        <v>115</v>
      </c>
      <c r="D744" t="s">
        <v>31</v>
      </c>
      <c r="E744" t="s">
        <v>184</v>
      </c>
    </row>
    <row r="745" spans="1:5">
      <c r="A745" s="3">
        <v>46192</v>
      </c>
      <c r="B745" t="s">
        <v>117</v>
      </c>
      <c r="C745" t="s">
        <v>118</v>
      </c>
      <c r="D745" t="s">
        <v>20</v>
      </c>
      <c r="E745" t="s">
        <v>184</v>
      </c>
    </row>
    <row r="746" spans="1:5">
      <c r="A746" s="3">
        <v>46192</v>
      </c>
      <c r="B746" t="s">
        <v>121</v>
      </c>
      <c r="C746" t="s">
        <v>122</v>
      </c>
      <c r="D746" t="s">
        <v>37</v>
      </c>
      <c r="E746" t="s">
        <v>184</v>
      </c>
    </row>
    <row r="747" spans="1:5">
      <c r="A747" s="3">
        <v>46192</v>
      </c>
      <c r="B747" t="s">
        <v>125</v>
      </c>
      <c r="C747" t="s">
        <v>126</v>
      </c>
      <c r="D747" t="s">
        <v>13</v>
      </c>
      <c r="E747" t="s">
        <v>184</v>
      </c>
    </row>
    <row r="748" spans="1:5">
      <c r="A748" s="3">
        <v>46192</v>
      </c>
      <c r="B748" t="s">
        <v>128</v>
      </c>
      <c r="C748" t="s">
        <v>129</v>
      </c>
      <c r="D748" t="s">
        <v>25</v>
      </c>
      <c r="E748" t="s">
        <v>184</v>
      </c>
    </row>
    <row r="749" spans="1:5">
      <c r="A749" s="3">
        <v>46192</v>
      </c>
      <c r="B749" t="s">
        <v>131</v>
      </c>
      <c r="C749" t="s">
        <v>132</v>
      </c>
      <c r="D749" t="s">
        <v>31</v>
      </c>
      <c r="E749" t="s">
        <v>184</v>
      </c>
    </row>
    <row r="750" spans="1:5">
      <c r="A750" s="3">
        <v>46192</v>
      </c>
      <c r="B750" t="s">
        <v>135</v>
      </c>
      <c r="C750" t="s">
        <v>136</v>
      </c>
      <c r="D750" t="s">
        <v>20</v>
      </c>
      <c r="E750" t="s">
        <v>184</v>
      </c>
    </row>
    <row r="751" spans="1:5">
      <c r="A751" s="3">
        <v>46192</v>
      </c>
      <c r="B751" t="s">
        <v>138</v>
      </c>
      <c r="C751" t="s">
        <v>139</v>
      </c>
      <c r="D751" t="s">
        <v>37</v>
      </c>
      <c r="E751" t="s">
        <v>184</v>
      </c>
    </row>
    <row r="752" spans="1:5">
      <c r="A752" s="3">
        <v>46192</v>
      </c>
      <c r="B752" t="s">
        <v>142</v>
      </c>
      <c r="C752" t="s">
        <v>143</v>
      </c>
      <c r="D752" t="s">
        <v>13</v>
      </c>
      <c r="E752" t="s">
        <v>184</v>
      </c>
    </row>
    <row r="753" spans="1:5">
      <c r="A753" s="3">
        <v>46192</v>
      </c>
      <c r="B753" t="s">
        <v>146</v>
      </c>
      <c r="C753" t="s">
        <v>147</v>
      </c>
      <c r="D753" t="s">
        <v>25</v>
      </c>
      <c r="E753" t="s">
        <v>184</v>
      </c>
    </row>
    <row r="754" spans="1:5">
      <c r="A754" s="3">
        <v>46192</v>
      </c>
      <c r="B754" t="s">
        <v>149</v>
      </c>
      <c r="C754" t="s">
        <v>150</v>
      </c>
      <c r="D754" t="s">
        <v>31</v>
      </c>
      <c r="E754" t="s">
        <v>184</v>
      </c>
    </row>
    <row r="755" spans="1:5">
      <c r="A755" s="3">
        <v>46192</v>
      </c>
      <c r="B755" t="s">
        <v>152</v>
      </c>
      <c r="C755" t="s">
        <v>153</v>
      </c>
      <c r="D755" t="s">
        <v>20</v>
      </c>
      <c r="E755" t="s">
        <v>184</v>
      </c>
    </row>
    <row r="756" spans="1:5">
      <c r="A756" s="3">
        <v>46192</v>
      </c>
      <c r="B756" t="s">
        <v>156</v>
      </c>
      <c r="C756" t="s">
        <v>157</v>
      </c>
      <c r="D756" t="s">
        <v>37</v>
      </c>
      <c r="E756" t="s">
        <v>184</v>
      </c>
    </row>
    <row r="757" spans="1:5">
      <c r="A757" s="3">
        <v>46192</v>
      </c>
      <c r="B757" t="s">
        <v>160</v>
      </c>
      <c r="C757" t="s">
        <v>161</v>
      </c>
      <c r="D757" t="s">
        <v>13</v>
      </c>
      <c r="E757" t="s">
        <v>184</v>
      </c>
    </row>
    <row r="758" spans="1:5">
      <c r="A758" s="3">
        <v>46192</v>
      </c>
      <c r="B758" t="s">
        <v>163</v>
      </c>
      <c r="C758" t="s">
        <v>164</v>
      </c>
      <c r="D758" t="s">
        <v>25</v>
      </c>
      <c r="E758" t="s">
        <v>184</v>
      </c>
    </row>
    <row r="759" spans="1:5">
      <c r="A759" s="3">
        <v>46192</v>
      </c>
      <c r="B759" t="s">
        <v>166</v>
      </c>
      <c r="C759" t="s">
        <v>167</v>
      </c>
      <c r="D759" t="s">
        <v>31</v>
      </c>
      <c r="E759" t="s">
        <v>184</v>
      </c>
    </row>
    <row r="760" spans="1:5">
      <c r="A760" s="3">
        <v>46192</v>
      </c>
      <c r="B760" t="s">
        <v>170</v>
      </c>
      <c r="C760" t="s">
        <v>171</v>
      </c>
      <c r="D760" t="s">
        <v>20</v>
      </c>
      <c r="E760" t="s">
        <v>185</v>
      </c>
    </row>
    <row r="761" spans="1:5">
      <c r="A761" s="3">
        <v>46192</v>
      </c>
      <c r="B761" t="s">
        <v>174</v>
      </c>
      <c r="C761" t="s">
        <v>175</v>
      </c>
      <c r="D761" t="s">
        <v>37</v>
      </c>
      <c r="E761" t="s">
        <v>184</v>
      </c>
    </row>
    <row r="762" spans="1:5">
      <c r="A762" s="3">
        <v>46193</v>
      </c>
      <c r="B762" t="s">
        <v>10</v>
      </c>
      <c r="C762" t="s">
        <v>11</v>
      </c>
      <c r="D762" t="s">
        <v>13</v>
      </c>
      <c r="E762" t="s">
        <v>184</v>
      </c>
    </row>
    <row r="763" spans="1:5">
      <c r="A763" s="3">
        <v>46193</v>
      </c>
      <c r="B763" t="s">
        <v>17</v>
      </c>
      <c r="C763" t="s">
        <v>18</v>
      </c>
      <c r="D763" t="s">
        <v>20</v>
      </c>
      <c r="E763" t="s">
        <v>184</v>
      </c>
    </row>
    <row r="764" spans="1:5">
      <c r="A764" s="3">
        <v>46193</v>
      </c>
      <c r="B764" t="s">
        <v>23</v>
      </c>
      <c r="C764" t="s">
        <v>24</v>
      </c>
      <c r="D764" t="s">
        <v>25</v>
      </c>
      <c r="E764" t="s">
        <v>184</v>
      </c>
    </row>
    <row r="765" spans="1:5">
      <c r="A765" s="3">
        <v>46193</v>
      </c>
      <c r="B765" t="s">
        <v>29</v>
      </c>
      <c r="C765" t="s">
        <v>30</v>
      </c>
      <c r="D765" t="s">
        <v>31</v>
      </c>
      <c r="E765" t="s">
        <v>185</v>
      </c>
    </row>
    <row r="766" spans="1:5">
      <c r="A766" s="3">
        <v>46193</v>
      </c>
      <c r="B766" t="s">
        <v>35</v>
      </c>
      <c r="C766" t="s">
        <v>36</v>
      </c>
      <c r="D766" t="s">
        <v>37</v>
      </c>
      <c r="E766" t="s">
        <v>184</v>
      </c>
    </row>
    <row r="767" spans="1:5">
      <c r="A767" s="3">
        <v>46193</v>
      </c>
      <c r="B767" t="s">
        <v>40</v>
      </c>
      <c r="C767" t="s">
        <v>41</v>
      </c>
      <c r="D767" t="s">
        <v>13</v>
      </c>
      <c r="E767" t="s">
        <v>184</v>
      </c>
    </row>
    <row r="768" spans="1:5">
      <c r="A768" s="3">
        <v>46193</v>
      </c>
      <c r="B768" t="s">
        <v>44</v>
      </c>
      <c r="C768" t="s">
        <v>45</v>
      </c>
      <c r="D768" t="s">
        <v>25</v>
      </c>
      <c r="E768" t="s">
        <v>184</v>
      </c>
    </row>
    <row r="769" spans="1:5">
      <c r="A769" s="3">
        <v>46193</v>
      </c>
      <c r="B769" t="s">
        <v>49</v>
      </c>
      <c r="C769" t="s">
        <v>50</v>
      </c>
      <c r="D769" t="s">
        <v>31</v>
      </c>
      <c r="E769" t="s">
        <v>184</v>
      </c>
    </row>
    <row r="770" spans="1:5">
      <c r="A770" s="3">
        <v>46193</v>
      </c>
      <c r="B770" t="s">
        <v>54</v>
      </c>
      <c r="C770" t="s">
        <v>55</v>
      </c>
      <c r="D770" t="s">
        <v>20</v>
      </c>
      <c r="E770" t="s">
        <v>184</v>
      </c>
    </row>
    <row r="771" spans="1:5">
      <c r="A771" s="3">
        <v>46193</v>
      </c>
      <c r="B771" t="s">
        <v>58</v>
      </c>
      <c r="C771" t="s">
        <v>59</v>
      </c>
      <c r="D771" t="s">
        <v>37</v>
      </c>
      <c r="E771" t="s">
        <v>186</v>
      </c>
    </row>
    <row r="772" spans="1:5">
      <c r="A772" s="3">
        <v>46193</v>
      </c>
      <c r="B772" t="s">
        <v>63</v>
      </c>
      <c r="C772" t="s">
        <v>64</v>
      </c>
      <c r="D772" t="s">
        <v>13</v>
      </c>
      <c r="E772" t="s">
        <v>184</v>
      </c>
    </row>
    <row r="773" spans="1:5">
      <c r="A773" s="3">
        <v>46193</v>
      </c>
      <c r="B773" t="s">
        <v>67</v>
      </c>
      <c r="C773" t="s">
        <v>68</v>
      </c>
      <c r="D773" t="s">
        <v>25</v>
      </c>
      <c r="E773" t="s">
        <v>184</v>
      </c>
    </row>
    <row r="774" spans="1:5">
      <c r="A774" s="3">
        <v>46193</v>
      </c>
      <c r="B774" t="s">
        <v>71</v>
      </c>
      <c r="C774" t="s">
        <v>72</v>
      </c>
      <c r="D774" t="s">
        <v>31</v>
      </c>
      <c r="E774" t="s">
        <v>185</v>
      </c>
    </row>
    <row r="775" spans="1:5">
      <c r="A775" s="3">
        <v>46193</v>
      </c>
      <c r="B775" t="s">
        <v>75</v>
      </c>
      <c r="C775" t="s">
        <v>76</v>
      </c>
      <c r="D775" t="s">
        <v>20</v>
      </c>
      <c r="E775" t="s">
        <v>184</v>
      </c>
    </row>
    <row r="776" spans="1:5">
      <c r="A776" s="3">
        <v>46193</v>
      </c>
      <c r="B776" t="s">
        <v>79</v>
      </c>
      <c r="C776" t="s">
        <v>80</v>
      </c>
      <c r="D776" t="s">
        <v>37</v>
      </c>
      <c r="E776" t="s">
        <v>184</v>
      </c>
    </row>
    <row r="777" spans="1:5">
      <c r="A777" s="3">
        <v>46193</v>
      </c>
      <c r="B777" t="s">
        <v>82</v>
      </c>
      <c r="C777" t="s">
        <v>83</v>
      </c>
      <c r="D777" t="s">
        <v>13</v>
      </c>
      <c r="E777" t="s">
        <v>184</v>
      </c>
    </row>
    <row r="778" spans="1:5">
      <c r="A778" s="3">
        <v>46193</v>
      </c>
      <c r="B778" t="s">
        <v>87</v>
      </c>
      <c r="C778" t="s">
        <v>88</v>
      </c>
      <c r="D778" t="s">
        <v>25</v>
      </c>
      <c r="E778" t="s">
        <v>184</v>
      </c>
    </row>
    <row r="779" spans="1:5">
      <c r="A779" s="3">
        <v>46193</v>
      </c>
      <c r="B779" t="s">
        <v>91</v>
      </c>
      <c r="C779" t="s">
        <v>92</v>
      </c>
      <c r="D779" t="s">
        <v>31</v>
      </c>
      <c r="E779" t="s">
        <v>185</v>
      </c>
    </row>
    <row r="780" spans="1:5">
      <c r="A780" s="3">
        <v>46193</v>
      </c>
      <c r="B780" t="s">
        <v>95</v>
      </c>
      <c r="C780" t="s">
        <v>96</v>
      </c>
      <c r="D780" t="s">
        <v>20</v>
      </c>
      <c r="E780" t="s">
        <v>184</v>
      </c>
    </row>
    <row r="781" spans="1:5">
      <c r="A781" s="3">
        <v>46193</v>
      </c>
      <c r="B781" t="s">
        <v>100</v>
      </c>
      <c r="C781" t="s">
        <v>101</v>
      </c>
      <c r="D781" t="s">
        <v>37</v>
      </c>
      <c r="E781" t="s">
        <v>184</v>
      </c>
    </row>
    <row r="782" spans="1:5">
      <c r="A782" s="3">
        <v>46193</v>
      </c>
      <c r="B782" t="s">
        <v>104</v>
      </c>
      <c r="C782" t="s">
        <v>105</v>
      </c>
      <c r="D782" t="s">
        <v>13</v>
      </c>
      <c r="E782" t="s">
        <v>184</v>
      </c>
    </row>
    <row r="783" spans="1:5">
      <c r="A783" s="3">
        <v>46193</v>
      </c>
      <c r="B783" t="s">
        <v>109</v>
      </c>
      <c r="C783" t="s">
        <v>110</v>
      </c>
      <c r="D783" t="s">
        <v>25</v>
      </c>
      <c r="E783" t="s">
        <v>184</v>
      </c>
    </row>
    <row r="784" spans="1:5">
      <c r="A784" s="3">
        <v>46193</v>
      </c>
      <c r="B784" t="s">
        <v>114</v>
      </c>
      <c r="C784" t="s">
        <v>115</v>
      </c>
      <c r="D784" t="s">
        <v>31</v>
      </c>
      <c r="E784" t="s">
        <v>184</v>
      </c>
    </row>
    <row r="785" spans="1:5">
      <c r="A785" s="3">
        <v>46193</v>
      </c>
      <c r="B785" t="s">
        <v>117</v>
      </c>
      <c r="C785" t="s">
        <v>118</v>
      </c>
      <c r="D785" t="s">
        <v>20</v>
      </c>
      <c r="E785" t="s">
        <v>186</v>
      </c>
    </row>
    <row r="786" spans="1:5">
      <c r="A786" s="3">
        <v>46193</v>
      </c>
      <c r="B786" t="s">
        <v>121</v>
      </c>
      <c r="C786" t="s">
        <v>122</v>
      </c>
      <c r="D786" t="s">
        <v>37</v>
      </c>
      <c r="E786" t="s">
        <v>184</v>
      </c>
    </row>
    <row r="787" spans="1:5">
      <c r="A787" s="3">
        <v>46193</v>
      </c>
      <c r="B787" t="s">
        <v>125</v>
      </c>
      <c r="C787" t="s">
        <v>126</v>
      </c>
      <c r="D787" t="s">
        <v>13</v>
      </c>
      <c r="E787" t="s">
        <v>186</v>
      </c>
    </row>
    <row r="788" spans="1:5">
      <c r="A788" s="3">
        <v>46193</v>
      </c>
      <c r="B788" t="s">
        <v>128</v>
      </c>
      <c r="C788" t="s">
        <v>129</v>
      </c>
      <c r="D788" t="s">
        <v>25</v>
      </c>
      <c r="E788" t="s">
        <v>184</v>
      </c>
    </row>
    <row r="789" spans="1:5">
      <c r="A789" s="3">
        <v>46193</v>
      </c>
      <c r="B789" t="s">
        <v>131</v>
      </c>
      <c r="C789" t="s">
        <v>132</v>
      </c>
      <c r="D789" t="s">
        <v>31</v>
      </c>
      <c r="E789" t="s">
        <v>184</v>
      </c>
    </row>
    <row r="790" spans="1:5">
      <c r="A790" s="3">
        <v>46193</v>
      </c>
      <c r="B790" t="s">
        <v>135</v>
      </c>
      <c r="C790" t="s">
        <v>136</v>
      </c>
      <c r="D790" t="s">
        <v>20</v>
      </c>
      <c r="E790" t="s">
        <v>184</v>
      </c>
    </row>
    <row r="791" spans="1:5">
      <c r="A791" s="3">
        <v>46193</v>
      </c>
      <c r="B791" t="s">
        <v>138</v>
      </c>
      <c r="C791" t="s">
        <v>139</v>
      </c>
      <c r="D791" t="s">
        <v>37</v>
      </c>
      <c r="E791" t="s">
        <v>184</v>
      </c>
    </row>
    <row r="792" spans="1:5">
      <c r="A792" s="3">
        <v>46193</v>
      </c>
      <c r="B792" t="s">
        <v>142</v>
      </c>
      <c r="C792" t="s">
        <v>143</v>
      </c>
      <c r="D792" t="s">
        <v>13</v>
      </c>
      <c r="E792" t="s">
        <v>184</v>
      </c>
    </row>
    <row r="793" spans="1:5">
      <c r="A793" s="3">
        <v>46193</v>
      </c>
      <c r="B793" t="s">
        <v>146</v>
      </c>
      <c r="C793" t="s">
        <v>147</v>
      </c>
      <c r="D793" t="s">
        <v>25</v>
      </c>
      <c r="E793" t="s">
        <v>184</v>
      </c>
    </row>
    <row r="794" spans="1:5">
      <c r="A794" s="3">
        <v>46193</v>
      </c>
      <c r="B794" t="s">
        <v>149</v>
      </c>
      <c r="C794" t="s">
        <v>150</v>
      </c>
      <c r="D794" t="s">
        <v>31</v>
      </c>
      <c r="E794" t="s">
        <v>184</v>
      </c>
    </row>
    <row r="795" spans="1:5">
      <c r="A795" s="3">
        <v>46193</v>
      </c>
      <c r="B795" t="s">
        <v>152</v>
      </c>
      <c r="C795" t="s">
        <v>153</v>
      </c>
      <c r="D795" t="s">
        <v>20</v>
      </c>
      <c r="E795" t="s">
        <v>184</v>
      </c>
    </row>
    <row r="796" spans="1:5">
      <c r="A796" s="3">
        <v>46193</v>
      </c>
      <c r="B796" t="s">
        <v>156</v>
      </c>
      <c r="C796" t="s">
        <v>157</v>
      </c>
      <c r="D796" t="s">
        <v>37</v>
      </c>
      <c r="E796" t="s">
        <v>184</v>
      </c>
    </row>
    <row r="797" spans="1:5">
      <c r="A797" s="3">
        <v>46193</v>
      </c>
      <c r="B797" t="s">
        <v>160</v>
      </c>
      <c r="C797" t="s">
        <v>161</v>
      </c>
      <c r="D797" t="s">
        <v>13</v>
      </c>
      <c r="E797" t="s">
        <v>184</v>
      </c>
    </row>
    <row r="798" spans="1:5">
      <c r="A798" s="3">
        <v>46193</v>
      </c>
      <c r="B798" t="s">
        <v>163</v>
      </c>
      <c r="C798" t="s">
        <v>164</v>
      </c>
      <c r="D798" t="s">
        <v>25</v>
      </c>
      <c r="E798" t="s">
        <v>184</v>
      </c>
    </row>
    <row r="799" spans="1:5">
      <c r="A799" s="3">
        <v>46193</v>
      </c>
      <c r="B799" t="s">
        <v>166</v>
      </c>
      <c r="C799" t="s">
        <v>167</v>
      </c>
      <c r="D799" t="s">
        <v>31</v>
      </c>
      <c r="E799" t="s">
        <v>184</v>
      </c>
    </row>
    <row r="800" spans="1:5">
      <c r="A800" s="3">
        <v>46193</v>
      </c>
      <c r="B800" t="s">
        <v>170</v>
      </c>
      <c r="C800" t="s">
        <v>171</v>
      </c>
      <c r="D800" t="s">
        <v>20</v>
      </c>
      <c r="E800" t="s">
        <v>184</v>
      </c>
    </row>
    <row r="801" spans="1:5">
      <c r="A801" s="3">
        <v>46193</v>
      </c>
      <c r="B801" t="s">
        <v>174</v>
      </c>
      <c r="C801" t="s">
        <v>175</v>
      </c>
      <c r="D801" t="s">
        <v>37</v>
      </c>
      <c r="E801" t="s">
        <v>186</v>
      </c>
    </row>
    <row r="802" spans="1:5">
      <c r="A802" s="3">
        <v>46194</v>
      </c>
      <c r="B802" t="s">
        <v>10</v>
      </c>
      <c r="C802" t="s">
        <v>11</v>
      </c>
      <c r="D802" t="s">
        <v>13</v>
      </c>
      <c r="E802" t="s">
        <v>184</v>
      </c>
    </row>
    <row r="803" spans="1:5">
      <c r="A803" s="3">
        <v>46194</v>
      </c>
      <c r="B803" t="s">
        <v>17</v>
      </c>
      <c r="C803" t="s">
        <v>18</v>
      </c>
      <c r="D803" t="s">
        <v>20</v>
      </c>
      <c r="E803" t="s">
        <v>186</v>
      </c>
    </row>
    <row r="804" spans="1:5">
      <c r="A804" s="3">
        <v>46194</v>
      </c>
      <c r="B804" t="s">
        <v>23</v>
      </c>
      <c r="C804" t="s">
        <v>24</v>
      </c>
      <c r="D804" t="s">
        <v>25</v>
      </c>
      <c r="E804" t="s">
        <v>184</v>
      </c>
    </row>
    <row r="805" spans="1:5">
      <c r="A805" s="3">
        <v>46194</v>
      </c>
      <c r="B805" t="s">
        <v>29</v>
      </c>
      <c r="C805" t="s">
        <v>30</v>
      </c>
      <c r="D805" t="s">
        <v>31</v>
      </c>
      <c r="E805" t="s">
        <v>184</v>
      </c>
    </row>
    <row r="806" spans="1:5">
      <c r="A806" s="3">
        <v>46194</v>
      </c>
      <c r="B806" t="s">
        <v>35</v>
      </c>
      <c r="C806" t="s">
        <v>36</v>
      </c>
      <c r="D806" t="s">
        <v>37</v>
      </c>
      <c r="E806" t="s">
        <v>186</v>
      </c>
    </row>
    <row r="807" spans="1:5">
      <c r="A807" s="3">
        <v>46194</v>
      </c>
      <c r="B807" t="s">
        <v>40</v>
      </c>
      <c r="C807" t="s">
        <v>41</v>
      </c>
      <c r="D807" t="s">
        <v>13</v>
      </c>
      <c r="E807" t="s">
        <v>184</v>
      </c>
    </row>
    <row r="808" spans="1:5">
      <c r="A808" s="3">
        <v>46194</v>
      </c>
      <c r="B808" t="s">
        <v>44</v>
      </c>
      <c r="C808" t="s">
        <v>45</v>
      </c>
      <c r="D808" t="s">
        <v>25</v>
      </c>
      <c r="E808" t="s">
        <v>184</v>
      </c>
    </row>
    <row r="809" spans="1:5">
      <c r="A809" s="3">
        <v>46194</v>
      </c>
      <c r="B809" t="s">
        <v>49</v>
      </c>
      <c r="C809" t="s">
        <v>50</v>
      </c>
      <c r="D809" t="s">
        <v>31</v>
      </c>
      <c r="E809" t="s">
        <v>184</v>
      </c>
    </row>
    <row r="810" spans="1:5">
      <c r="A810" s="3">
        <v>46194</v>
      </c>
      <c r="B810" t="s">
        <v>54</v>
      </c>
      <c r="C810" t="s">
        <v>55</v>
      </c>
      <c r="D810" t="s">
        <v>20</v>
      </c>
      <c r="E810" t="s">
        <v>184</v>
      </c>
    </row>
    <row r="811" spans="1:5">
      <c r="A811" s="3">
        <v>46194</v>
      </c>
      <c r="B811" t="s">
        <v>58</v>
      </c>
      <c r="C811" t="s">
        <v>59</v>
      </c>
      <c r="D811" t="s">
        <v>37</v>
      </c>
      <c r="E811" t="s">
        <v>184</v>
      </c>
    </row>
    <row r="812" spans="1:5">
      <c r="A812" s="3">
        <v>46194</v>
      </c>
      <c r="B812" t="s">
        <v>63</v>
      </c>
      <c r="C812" t="s">
        <v>64</v>
      </c>
      <c r="D812" t="s">
        <v>13</v>
      </c>
      <c r="E812" t="s">
        <v>184</v>
      </c>
    </row>
    <row r="813" spans="1:5">
      <c r="A813" s="3">
        <v>46194</v>
      </c>
      <c r="B813" t="s">
        <v>67</v>
      </c>
      <c r="C813" t="s">
        <v>68</v>
      </c>
      <c r="D813" t="s">
        <v>25</v>
      </c>
      <c r="E813" t="s">
        <v>184</v>
      </c>
    </row>
    <row r="814" spans="1:5">
      <c r="A814" s="3">
        <v>46194</v>
      </c>
      <c r="B814" t="s">
        <v>71</v>
      </c>
      <c r="C814" t="s">
        <v>72</v>
      </c>
      <c r="D814" t="s">
        <v>31</v>
      </c>
      <c r="E814" t="s">
        <v>184</v>
      </c>
    </row>
    <row r="815" spans="1:5">
      <c r="A815" s="3">
        <v>46194</v>
      </c>
      <c r="B815" t="s">
        <v>75</v>
      </c>
      <c r="C815" t="s">
        <v>76</v>
      </c>
      <c r="D815" t="s">
        <v>20</v>
      </c>
      <c r="E815" t="s">
        <v>186</v>
      </c>
    </row>
    <row r="816" spans="1:5">
      <c r="A816" s="3">
        <v>46194</v>
      </c>
      <c r="B816" t="s">
        <v>79</v>
      </c>
      <c r="C816" t="s">
        <v>80</v>
      </c>
      <c r="D816" t="s">
        <v>37</v>
      </c>
      <c r="E816" t="s">
        <v>184</v>
      </c>
    </row>
    <row r="817" spans="1:5">
      <c r="A817" s="3">
        <v>46194</v>
      </c>
      <c r="B817" t="s">
        <v>82</v>
      </c>
      <c r="C817" t="s">
        <v>83</v>
      </c>
      <c r="D817" t="s">
        <v>13</v>
      </c>
      <c r="E817" t="s">
        <v>184</v>
      </c>
    </row>
    <row r="818" spans="1:5">
      <c r="A818" s="3">
        <v>46194</v>
      </c>
      <c r="B818" t="s">
        <v>87</v>
      </c>
      <c r="C818" t="s">
        <v>88</v>
      </c>
      <c r="D818" t="s">
        <v>25</v>
      </c>
      <c r="E818" t="s">
        <v>184</v>
      </c>
    </row>
    <row r="819" spans="1:5">
      <c r="A819" s="3">
        <v>46194</v>
      </c>
      <c r="B819" t="s">
        <v>91</v>
      </c>
      <c r="C819" t="s">
        <v>92</v>
      </c>
      <c r="D819" t="s">
        <v>31</v>
      </c>
      <c r="E819" t="s">
        <v>184</v>
      </c>
    </row>
    <row r="820" spans="1:5">
      <c r="A820" s="3">
        <v>46194</v>
      </c>
      <c r="B820" t="s">
        <v>95</v>
      </c>
      <c r="C820" t="s">
        <v>96</v>
      </c>
      <c r="D820" t="s">
        <v>20</v>
      </c>
      <c r="E820" t="s">
        <v>184</v>
      </c>
    </row>
    <row r="821" spans="1:5">
      <c r="A821" s="3">
        <v>46194</v>
      </c>
      <c r="B821" t="s">
        <v>100</v>
      </c>
      <c r="C821" t="s">
        <v>101</v>
      </c>
      <c r="D821" t="s">
        <v>37</v>
      </c>
      <c r="E821" t="s">
        <v>184</v>
      </c>
    </row>
    <row r="822" spans="1:5">
      <c r="A822" s="3">
        <v>46194</v>
      </c>
      <c r="B822" t="s">
        <v>104</v>
      </c>
      <c r="C822" t="s">
        <v>105</v>
      </c>
      <c r="D822" t="s">
        <v>13</v>
      </c>
      <c r="E822" t="s">
        <v>184</v>
      </c>
    </row>
    <row r="823" spans="1:5">
      <c r="A823" s="3">
        <v>46194</v>
      </c>
      <c r="B823" t="s">
        <v>109</v>
      </c>
      <c r="C823" t="s">
        <v>110</v>
      </c>
      <c r="D823" t="s">
        <v>25</v>
      </c>
      <c r="E823" t="s">
        <v>184</v>
      </c>
    </row>
    <row r="824" spans="1:5">
      <c r="A824" s="3">
        <v>46194</v>
      </c>
      <c r="B824" t="s">
        <v>114</v>
      </c>
      <c r="C824" t="s">
        <v>115</v>
      </c>
      <c r="D824" t="s">
        <v>31</v>
      </c>
      <c r="E824" t="s">
        <v>184</v>
      </c>
    </row>
    <row r="825" spans="1:5">
      <c r="A825" s="3">
        <v>46194</v>
      </c>
      <c r="B825" t="s">
        <v>117</v>
      </c>
      <c r="C825" t="s">
        <v>118</v>
      </c>
      <c r="D825" t="s">
        <v>20</v>
      </c>
      <c r="E825" t="s">
        <v>184</v>
      </c>
    </row>
    <row r="826" spans="1:5">
      <c r="A826" s="3">
        <v>46194</v>
      </c>
      <c r="B826" t="s">
        <v>121</v>
      </c>
      <c r="C826" t="s">
        <v>122</v>
      </c>
      <c r="D826" t="s">
        <v>37</v>
      </c>
      <c r="E826" t="s">
        <v>184</v>
      </c>
    </row>
    <row r="827" spans="1:5">
      <c r="A827" s="3">
        <v>46194</v>
      </c>
      <c r="B827" t="s">
        <v>125</v>
      </c>
      <c r="C827" t="s">
        <v>126</v>
      </c>
      <c r="D827" t="s">
        <v>13</v>
      </c>
      <c r="E827" t="s">
        <v>184</v>
      </c>
    </row>
    <row r="828" spans="1:5">
      <c r="A828" s="3">
        <v>46194</v>
      </c>
      <c r="B828" t="s">
        <v>128</v>
      </c>
      <c r="C828" t="s">
        <v>129</v>
      </c>
      <c r="D828" t="s">
        <v>25</v>
      </c>
      <c r="E828" t="s">
        <v>186</v>
      </c>
    </row>
    <row r="829" spans="1:5">
      <c r="A829" s="3">
        <v>46194</v>
      </c>
      <c r="B829" t="s">
        <v>131</v>
      </c>
      <c r="C829" t="s">
        <v>132</v>
      </c>
      <c r="D829" t="s">
        <v>31</v>
      </c>
      <c r="E829" t="s">
        <v>184</v>
      </c>
    </row>
    <row r="830" spans="1:5">
      <c r="A830" s="3">
        <v>46194</v>
      </c>
      <c r="B830" t="s">
        <v>135</v>
      </c>
      <c r="C830" t="s">
        <v>136</v>
      </c>
      <c r="D830" t="s">
        <v>20</v>
      </c>
      <c r="E830" t="s">
        <v>184</v>
      </c>
    </row>
    <row r="831" spans="1:5">
      <c r="A831" s="3">
        <v>46194</v>
      </c>
      <c r="B831" t="s">
        <v>138</v>
      </c>
      <c r="C831" t="s">
        <v>139</v>
      </c>
      <c r="D831" t="s">
        <v>37</v>
      </c>
      <c r="E831" t="s">
        <v>184</v>
      </c>
    </row>
    <row r="832" spans="1:5">
      <c r="A832" s="3">
        <v>46194</v>
      </c>
      <c r="B832" t="s">
        <v>142</v>
      </c>
      <c r="C832" t="s">
        <v>143</v>
      </c>
      <c r="D832" t="s">
        <v>13</v>
      </c>
      <c r="E832" t="s">
        <v>184</v>
      </c>
    </row>
    <row r="833" spans="1:5">
      <c r="A833" s="3">
        <v>46194</v>
      </c>
      <c r="B833" t="s">
        <v>146</v>
      </c>
      <c r="C833" t="s">
        <v>147</v>
      </c>
      <c r="D833" t="s">
        <v>25</v>
      </c>
      <c r="E833" t="s">
        <v>184</v>
      </c>
    </row>
    <row r="834" spans="1:5">
      <c r="A834" s="3">
        <v>46194</v>
      </c>
      <c r="B834" t="s">
        <v>149</v>
      </c>
      <c r="C834" t="s">
        <v>150</v>
      </c>
      <c r="D834" t="s">
        <v>31</v>
      </c>
      <c r="E834" t="s">
        <v>184</v>
      </c>
    </row>
    <row r="835" spans="1:5">
      <c r="A835" s="3">
        <v>46194</v>
      </c>
      <c r="B835" t="s">
        <v>152</v>
      </c>
      <c r="C835" t="s">
        <v>153</v>
      </c>
      <c r="D835" t="s">
        <v>20</v>
      </c>
      <c r="E835" t="s">
        <v>184</v>
      </c>
    </row>
    <row r="836" spans="1:5">
      <c r="A836" s="3">
        <v>46194</v>
      </c>
      <c r="B836" t="s">
        <v>156</v>
      </c>
      <c r="C836" t="s">
        <v>157</v>
      </c>
      <c r="D836" t="s">
        <v>37</v>
      </c>
      <c r="E836" t="s">
        <v>184</v>
      </c>
    </row>
    <row r="837" spans="1:5">
      <c r="A837" s="3">
        <v>46194</v>
      </c>
      <c r="B837" t="s">
        <v>160</v>
      </c>
      <c r="C837" t="s">
        <v>161</v>
      </c>
      <c r="D837" t="s">
        <v>13</v>
      </c>
      <c r="E837" t="s">
        <v>184</v>
      </c>
    </row>
    <row r="838" spans="1:5">
      <c r="A838" s="3">
        <v>46194</v>
      </c>
      <c r="B838" t="s">
        <v>163</v>
      </c>
      <c r="C838" t="s">
        <v>164</v>
      </c>
      <c r="D838" t="s">
        <v>25</v>
      </c>
      <c r="E838" t="s">
        <v>184</v>
      </c>
    </row>
    <row r="839" spans="1:5">
      <c r="A839" s="3">
        <v>46194</v>
      </c>
      <c r="B839" t="s">
        <v>166</v>
      </c>
      <c r="C839" t="s">
        <v>167</v>
      </c>
      <c r="D839" t="s">
        <v>31</v>
      </c>
      <c r="E839" t="s">
        <v>184</v>
      </c>
    </row>
    <row r="840" spans="1:5">
      <c r="A840" s="3">
        <v>46194</v>
      </c>
      <c r="B840" t="s">
        <v>170</v>
      </c>
      <c r="C840" t="s">
        <v>171</v>
      </c>
      <c r="D840" t="s">
        <v>20</v>
      </c>
      <c r="E840" t="s">
        <v>184</v>
      </c>
    </row>
    <row r="841" spans="1:5">
      <c r="A841" s="3">
        <v>46194</v>
      </c>
      <c r="B841" t="s">
        <v>174</v>
      </c>
      <c r="C841" t="s">
        <v>175</v>
      </c>
      <c r="D841" t="s">
        <v>37</v>
      </c>
      <c r="E841" t="s">
        <v>184</v>
      </c>
    </row>
    <row r="842" spans="1:5">
      <c r="A842" s="3">
        <v>46195</v>
      </c>
      <c r="B842" t="s">
        <v>10</v>
      </c>
      <c r="C842" t="s">
        <v>11</v>
      </c>
      <c r="D842" t="s">
        <v>13</v>
      </c>
      <c r="E842" t="s">
        <v>184</v>
      </c>
    </row>
    <row r="843" spans="1:5">
      <c r="A843" s="3">
        <v>46195</v>
      </c>
      <c r="B843" t="s">
        <v>17</v>
      </c>
      <c r="C843" t="s">
        <v>18</v>
      </c>
      <c r="D843" t="s">
        <v>20</v>
      </c>
      <c r="E843" t="s">
        <v>184</v>
      </c>
    </row>
    <row r="844" spans="1:5">
      <c r="A844" s="3">
        <v>46195</v>
      </c>
      <c r="B844" t="s">
        <v>23</v>
      </c>
      <c r="C844" t="s">
        <v>24</v>
      </c>
      <c r="D844" t="s">
        <v>25</v>
      </c>
      <c r="E844" t="s">
        <v>184</v>
      </c>
    </row>
    <row r="845" spans="1:5">
      <c r="A845" s="3">
        <v>46195</v>
      </c>
      <c r="B845" t="s">
        <v>29</v>
      </c>
      <c r="C845" t="s">
        <v>30</v>
      </c>
      <c r="D845" t="s">
        <v>31</v>
      </c>
      <c r="E845" t="s">
        <v>184</v>
      </c>
    </row>
    <row r="846" spans="1:5">
      <c r="A846" s="3">
        <v>46195</v>
      </c>
      <c r="B846" t="s">
        <v>35</v>
      </c>
      <c r="C846" t="s">
        <v>36</v>
      </c>
      <c r="D846" t="s">
        <v>37</v>
      </c>
      <c r="E846" t="s">
        <v>184</v>
      </c>
    </row>
    <row r="847" spans="1:5">
      <c r="A847" s="3">
        <v>46195</v>
      </c>
      <c r="B847" t="s">
        <v>40</v>
      </c>
      <c r="C847" t="s">
        <v>41</v>
      </c>
      <c r="D847" t="s">
        <v>13</v>
      </c>
      <c r="E847" t="s">
        <v>184</v>
      </c>
    </row>
    <row r="848" spans="1:5">
      <c r="A848" s="3">
        <v>46195</v>
      </c>
      <c r="B848" t="s">
        <v>44</v>
      </c>
      <c r="C848" t="s">
        <v>45</v>
      </c>
      <c r="D848" t="s">
        <v>25</v>
      </c>
      <c r="E848" t="s">
        <v>184</v>
      </c>
    </row>
    <row r="849" spans="1:5">
      <c r="A849" s="3">
        <v>46195</v>
      </c>
      <c r="B849" t="s">
        <v>49</v>
      </c>
      <c r="C849" t="s">
        <v>50</v>
      </c>
      <c r="D849" t="s">
        <v>31</v>
      </c>
      <c r="E849" t="s">
        <v>186</v>
      </c>
    </row>
    <row r="850" spans="1:5">
      <c r="A850" s="3">
        <v>46195</v>
      </c>
      <c r="B850" t="s">
        <v>54</v>
      </c>
      <c r="C850" t="s">
        <v>55</v>
      </c>
      <c r="D850" t="s">
        <v>20</v>
      </c>
      <c r="E850" t="s">
        <v>185</v>
      </c>
    </row>
    <row r="851" spans="1:5">
      <c r="A851" s="3">
        <v>46195</v>
      </c>
      <c r="B851" t="s">
        <v>58</v>
      </c>
      <c r="C851" t="s">
        <v>59</v>
      </c>
      <c r="D851" t="s">
        <v>37</v>
      </c>
      <c r="E851" t="s">
        <v>184</v>
      </c>
    </row>
    <row r="852" spans="1:5">
      <c r="A852" s="3">
        <v>46195</v>
      </c>
      <c r="B852" t="s">
        <v>63</v>
      </c>
      <c r="C852" t="s">
        <v>64</v>
      </c>
      <c r="D852" t="s">
        <v>13</v>
      </c>
      <c r="E852" t="s">
        <v>184</v>
      </c>
    </row>
    <row r="853" spans="1:5">
      <c r="A853" s="3">
        <v>46195</v>
      </c>
      <c r="B853" t="s">
        <v>67</v>
      </c>
      <c r="C853" t="s">
        <v>68</v>
      </c>
      <c r="D853" t="s">
        <v>25</v>
      </c>
      <c r="E853" t="s">
        <v>184</v>
      </c>
    </row>
    <row r="854" spans="1:5">
      <c r="A854" s="3">
        <v>46195</v>
      </c>
      <c r="B854" t="s">
        <v>71</v>
      </c>
      <c r="C854" t="s">
        <v>72</v>
      </c>
      <c r="D854" t="s">
        <v>31</v>
      </c>
      <c r="E854" t="s">
        <v>184</v>
      </c>
    </row>
    <row r="855" spans="1:5">
      <c r="A855" s="3">
        <v>46195</v>
      </c>
      <c r="B855" t="s">
        <v>75</v>
      </c>
      <c r="C855" t="s">
        <v>76</v>
      </c>
      <c r="D855" t="s">
        <v>20</v>
      </c>
      <c r="E855" t="s">
        <v>184</v>
      </c>
    </row>
    <row r="856" spans="1:5">
      <c r="A856" s="3">
        <v>46195</v>
      </c>
      <c r="B856" t="s">
        <v>79</v>
      </c>
      <c r="C856" t="s">
        <v>80</v>
      </c>
      <c r="D856" t="s">
        <v>37</v>
      </c>
      <c r="E856" t="s">
        <v>184</v>
      </c>
    </row>
    <row r="857" spans="1:5">
      <c r="A857" s="3">
        <v>46195</v>
      </c>
      <c r="B857" t="s">
        <v>82</v>
      </c>
      <c r="C857" t="s">
        <v>83</v>
      </c>
      <c r="D857" t="s">
        <v>13</v>
      </c>
      <c r="E857" t="s">
        <v>186</v>
      </c>
    </row>
    <row r="858" spans="1:5">
      <c r="A858" s="3">
        <v>46195</v>
      </c>
      <c r="B858" t="s">
        <v>87</v>
      </c>
      <c r="C858" t="s">
        <v>88</v>
      </c>
      <c r="D858" t="s">
        <v>25</v>
      </c>
      <c r="E858" t="s">
        <v>184</v>
      </c>
    </row>
    <row r="859" spans="1:5">
      <c r="A859" s="3">
        <v>46195</v>
      </c>
      <c r="B859" t="s">
        <v>91</v>
      </c>
      <c r="C859" t="s">
        <v>92</v>
      </c>
      <c r="D859" t="s">
        <v>31</v>
      </c>
      <c r="E859" t="s">
        <v>184</v>
      </c>
    </row>
    <row r="860" spans="1:5">
      <c r="A860" s="3">
        <v>46195</v>
      </c>
      <c r="B860" t="s">
        <v>95</v>
      </c>
      <c r="C860" t="s">
        <v>96</v>
      </c>
      <c r="D860" t="s">
        <v>20</v>
      </c>
      <c r="E860" t="s">
        <v>184</v>
      </c>
    </row>
    <row r="861" spans="1:5">
      <c r="A861" s="3">
        <v>46195</v>
      </c>
      <c r="B861" t="s">
        <v>100</v>
      </c>
      <c r="C861" t="s">
        <v>101</v>
      </c>
      <c r="D861" t="s">
        <v>37</v>
      </c>
      <c r="E861" t="s">
        <v>184</v>
      </c>
    </row>
    <row r="862" spans="1:5">
      <c r="A862" s="3">
        <v>46195</v>
      </c>
      <c r="B862" t="s">
        <v>104</v>
      </c>
      <c r="C862" t="s">
        <v>105</v>
      </c>
      <c r="D862" t="s">
        <v>13</v>
      </c>
      <c r="E862" t="s">
        <v>184</v>
      </c>
    </row>
    <row r="863" spans="1:5">
      <c r="A863" s="3">
        <v>46195</v>
      </c>
      <c r="B863" t="s">
        <v>109</v>
      </c>
      <c r="C863" t="s">
        <v>110</v>
      </c>
      <c r="D863" t="s">
        <v>25</v>
      </c>
      <c r="E863" t="s">
        <v>184</v>
      </c>
    </row>
    <row r="864" spans="1:5">
      <c r="A864" s="3">
        <v>46195</v>
      </c>
      <c r="B864" t="s">
        <v>114</v>
      </c>
      <c r="C864" t="s">
        <v>115</v>
      </c>
      <c r="D864" t="s">
        <v>31</v>
      </c>
      <c r="E864" t="s">
        <v>184</v>
      </c>
    </row>
    <row r="865" spans="1:5">
      <c r="A865" s="3">
        <v>46195</v>
      </c>
      <c r="B865" t="s">
        <v>117</v>
      </c>
      <c r="C865" t="s">
        <v>118</v>
      </c>
      <c r="D865" t="s">
        <v>20</v>
      </c>
      <c r="E865" t="s">
        <v>184</v>
      </c>
    </row>
    <row r="866" spans="1:5">
      <c r="A866" s="3">
        <v>46195</v>
      </c>
      <c r="B866" t="s">
        <v>121</v>
      </c>
      <c r="C866" t="s">
        <v>122</v>
      </c>
      <c r="D866" t="s">
        <v>37</v>
      </c>
      <c r="E866" t="s">
        <v>184</v>
      </c>
    </row>
    <row r="867" spans="1:5">
      <c r="A867" s="3">
        <v>46195</v>
      </c>
      <c r="B867" t="s">
        <v>125</v>
      </c>
      <c r="C867" t="s">
        <v>126</v>
      </c>
      <c r="D867" t="s">
        <v>13</v>
      </c>
      <c r="E867" t="s">
        <v>184</v>
      </c>
    </row>
    <row r="868" spans="1:5">
      <c r="A868" s="3">
        <v>46195</v>
      </c>
      <c r="B868" t="s">
        <v>128</v>
      </c>
      <c r="C868" t="s">
        <v>129</v>
      </c>
      <c r="D868" t="s">
        <v>25</v>
      </c>
      <c r="E868" t="s">
        <v>184</v>
      </c>
    </row>
    <row r="869" spans="1:5">
      <c r="A869" s="3">
        <v>46195</v>
      </c>
      <c r="B869" t="s">
        <v>131</v>
      </c>
      <c r="C869" t="s">
        <v>132</v>
      </c>
      <c r="D869" t="s">
        <v>31</v>
      </c>
      <c r="E869" t="s">
        <v>184</v>
      </c>
    </row>
    <row r="870" spans="1:5">
      <c r="A870" s="3">
        <v>46195</v>
      </c>
      <c r="B870" t="s">
        <v>135</v>
      </c>
      <c r="C870" t="s">
        <v>136</v>
      </c>
      <c r="D870" t="s">
        <v>20</v>
      </c>
      <c r="E870" t="s">
        <v>184</v>
      </c>
    </row>
    <row r="871" spans="1:5">
      <c r="A871" s="3">
        <v>46195</v>
      </c>
      <c r="B871" t="s">
        <v>138</v>
      </c>
      <c r="C871" t="s">
        <v>139</v>
      </c>
      <c r="D871" t="s">
        <v>37</v>
      </c>
      <c r="E871" t="s">
        <v>184</v>
      </c>
    </row>
    <row r="872" spans="1:5">
      <c r="A872" s="3">
        <v>46195</v>
      </c>
      <c r="B872" t="s">
        <v>142</v>
      </c>
      <c r="C872" t="s">
        <v>143</v>
      </c>
      <c r="D872" t="s">
        <v>13</v>
      </c>
      <c r="E872" t="s">
        <v>184</v>
      </c>
    </row>
    <row r="873" spans="1:5">
      <c r="A873" s="3">
        <v>46195</v>
      </c>
      <c r="B873" t="s">
        <v>146</v>
      </c>
      <c r="C873" t="s">
        <v>147</v>
      </c>
      <c r="D873" t="s">
        <v>25</v>
      </c>
      <c r="E873" t="s">
        <v>184</v>
      </c>
    </row>
    <row r="874" spans="1:5">
      <c r="A874" s="3">
        <v>46195</v>
      </c>
      <c r="B874" t="s">
        <v>149</v>
      </c>
      <c r="C874" t="s">
        <v>150</v>
      </c>
      <c r="D874" t="s">
        <v>31</v>
      </c>
      <c r="E874" t="s">
        <v>184</v>
      </c>
    </row>
    <row r="875" spans="1:5">
      <c r="A875" s="3">
        <v>46195</v>
      </c>
      <c r="B875" t="s">
        <v>152</v>
      </c>
      <c r="C875" t="s">
        <v>153</v>
      </c>
      <c r="D875" t="s">
        <v>20</v>
      </c>
      <c r="E875" t="s">
        <v>184</v>
      </c>
    </row>
    <row r="876" spans="1:5">
      <c r="A876" s="3">
        <v>46195</v>
      </c>
      <c r="B876" t="s">
        <v>156</v>
      </c>
      <c r="C876" t="s">
        <v>157</v>
      </c>
      <c r="D876" t="s">
        <v>37</v>
      </c>
      <c r="E876" t="s">
        <v>184</v>
      </c>
    </row>
    <row r="877" spans="1:5">
      <c r="A877" s="3">
        <v>46195</v>
      </c>
      <c r="B877" t="s">
        <v>160</v>
      </c>
      <c r="C877" t="s">
        <v>161</v>
      </c>
      <c r="D877" t="s">
        <v>13</v>
      </c>
      <c r="E877" t="s">
        <v>184</v>
      </c>
    </row>
    <row r="878" spans="1:5">
      <c r="A878" s="3">
        <v>46195</v>
      </c>
      <c r="B878" t="s">
        <v>163</v>
      </c>
      <c r="C878" t="s">
        <v>164</v>
      </c>
      <c r="D878" t="s">
        <v>25</v>
      </c>
      <c r="E878" t="s">
        <v>184</v>
      </c>
    </row>
    <row r="879" spans="1:5">
      <c r="A879" s="3">
        <v>46195</v>
      </c>
      <c r="B879" t="s">
        <v>166</v>
      </c>
      <c r="C879" t="s">
        <v>167</v>
      </c>
      <c r="D879" t="s">
        <v>31</v>
      </c>
      <c r="E879" t="s">
        <v>184</v>
      </c>
    </row>
    <row r="880" spans="1:5">
      <c r="A880" s="3">
        <v>46195</v>
      </c>
      <c r="B880" t="s">
        <v>170</v>
      </c>
      <c r="C880" t="s">
        <v>171</v>
      </c>
      <c r="D880" t="s">
        <v>20</v>
      </c>
      <c r="E880" t="s">
        <v>184</v>
      </c>
    </row>
    <row r="881" spans="1:5">
      <c r="A881" s="3">
        <v>46195</v>
      </c>
      <c r="B881" t="s">
        <v>174</v>
      </c>
      <c r="C881" t="s">
        <v>175</v>
      </c>
      <c r="D881" t="s">
        <v>37</v>
      </c>
      <c r="E881" t="s">
        <v>184</v>
      </c>
    </row>
    <row r="882" spans="1:5">
      <c r="A882" s="3">
        <v>46196</v>
      </c>
      <c r="B882" t="s">
        <v>10</v>
      </c>
      <c r="C882" t="s">
        <v>11</v>
      </c>
      <c r="D882" t="s">
        <v>13</v>
      </c>
      <c r="E882" t="s">
        <v>184</v>
      </c>
    </row>
    <row r="883" spans="1:5">
      <c r="A883" s="3">
        <v>46196</v>
      </c>
      <c r="B883" t="s">
        <v>17</v>
      </c>
      <c r="C883" t="s">
        <v>18</v>
      </c>
      <c r="D883" t="s">
        <v>20</v>
      </c>
      <c r="E883" t="s">
        <v>184</v>
      </c>
    </row>
    <row r="884" spans="1:5">
      <c r="A884" s="3">
        <v>46196</v>
      </c>
      <c r="B884" t="s">
        <v>23</v>
      </c>
      <c r="C884" t="s">
        <v>24</v>
      </c>
      <c r="D884" t="s">
        <v>25</v>
      </c>
      <c r="E884" t="s">
        <v>184</v>
      </c>
    </row>
    <row r="885" spans="1:5">
      <c r="A885" s="3">
        <v>46196</v>
      </c>
      <c r="B885" t="s">
        <v>29</v>
      </c>
      <c r="C885" t="s">
        <v>30</v>
      </c>
      <c r="D885" t="s">
        <v>31</v>
      </c>
      <c r="E885" t="s">
        <v>184</v>
      </c>
    </row>
    <row r="886" spans="1:5">
      <c r="A886" s="3">
        <v>46196</v>
      </c>
      <c r="B886" t="s">
        <v>35</v>
      </c>
      <c r="C886" t="s">
        <v>36</v>
      </c>
      <c r="D886" t="s">
        <v>37</v>
      </c>
      <c r="E886" t="s">
        <v>184</v>
      </c>
    </row>
    <row r="887" spans="1:5">
      <c r="A887" s="3">
        <v>46196</v>
      </c>
      <c r="B887" t="s">
        <v>40</v>
      </c>
      <c r="C887" t="s">
        <v>41</v>
      </c>
      <c r="D887" t="s">
        <v>13</v>
      </c>
      <c r="E887" t="s">
        <v>184</v>
      </c>
    </row>
    <row r="888" spans="1:5">
      <c r="A888" s="3">
        <v>46196</v>
      </c>
      <c r="B888" t="s">
        <v>44</v>
      </c>
      <c r="C888" t="s">
        <v>45</v>
      </c>
      <c r="D888" t="s">
        <v>25</v>
      </c>
      <c r="E888" t="s">
        <v>186</v>
      </c>
    </row>
    <row r="889" spans="1:5">
      <c r="A889" s="3">
        <v>46196</v>
      </c>
      <c r="B889" t="s">
        <v>49</v>
      </c>
      <c r="C889" t="s">
        <v>50</v>
      </c>
      <c r="D889" t="s">
        <v>31</v>
      </c>
      <c r="E889" t="s">
        <v>185</v>
      </c>
    </row>
    <row r="890" spans="1:5">
      <c r="A890" s="3">
        <v>46196</v>
      </c>
      <c r="B890" t="s">
        <v>54</v>
      </c>
      <c r="C890" t="s">
        <v>55</v>
      </c>
      <c r="D890" t="s">
        <v>20</v>
      </c>
      <c r="E890" t="s">
        <v>184</v>
      </c>
    </row>
    <row r="891" spans="1:5">
      <c r="A891" s="3">
        <v>46196</v>
      </c>
      <c r="B891" t="s">
        <v>58</v>
      </c>
      <c r="C891" t="s">
        <v>59</v>
      </c>
      <c r="D891" t="s">
        <v>37</v>
      </c>
      <c r="E891" t="s">
        <v>184</v>
      </c>
    </row>
    <row r="892" spans="1:5">
      <c r="A892" s="3">
        <v>46196</v>
      </c>
      <c r="B892" t="s">
        <v>63</v>
      </c>
      <c r="C892" t="s">
        <v>64</v>
      </c>
      <c r="D892" t="s">
        <v>13</v>
      </c>
      <c r="E892" t="s">
        <v>184</v>
      </c>
    </row>
    <row r="893" spans="1:5">
      <c r="A893" s="3">
        <v>46196</v>
      </c>
      <c r="B893" t="s">
        <v>67</v>
      </c>
      <c r="C893" t="s">
        <v>68</v>
      </c>
      <c r="D893" t="s">
        <v>25</v>
      </c>
      <c r="E893" t="s">
        <v>184</v>
      </c>
    </row>
    <row r="894" spans="1:5">
      <c r="A894" s="3">
        <v>46196</v>
      </c>
      <c r="B894" t="s">
        <v>71</v>
      </c>
      <c r="C894" t="s">
        <v>72</v>
      </c>
      <c r="D894" t="s">
        <v>31</v>
      </c>
      <c r="E894" t="s">
        <v>184</v>
      </c>
    </row>
    <row r="895" spans="1:5">
      <c r="A895" s="3">
        <v>46196</v>
      </c>
      <c r="B895" t="s">
        <v>75</v>
      </c>
      <c r="C895" t="s">
        <v>76</v>
      </c>
      <c r="D895" t="s">
        <v>20</v>
      </c>
      <c r="E895" t="s">
        <v>184</v>
      </c>
    </row>
    <row r="896" spans="1:5">
      <c r="A896" s="3">
        <v>46196</v>
      </c>
      <c r="B896" t="s">
        <v>79</v>
      </c>
      <c r="C896" t="s">
        <v>80</v>
      </c>
      <c r="D896" t="s">
        <v>37</v>
      </c>
      <c r="E896" t="s">
        <v>184</v>
      </c>
    </row>
    <row r="897" spans="1:5">
      <c r="A897" s="3">
        <v>46196</v>
      </c>
      <c r="B897" t="s">
        <v>82</v>
      </c>
      <c r="C897" t="s">
        <v>83</v>
      </c>
      <c r="D897" t="s">
        <v>13</v>
      </c>
      <c r="E897" t="s">
        <v>184</v>
      </c>
    </row>
    <row r="898" spans="1:5">
      <c r="A898" s="3">
        <v>46196</v>
      </c>
      <c r="B898" t="s">
        <v>87</v>
      </c>
      <c r="C898" t="s">
        <v>88</v>
      </c>
      <c r="D898" t="s">
        <v>25</v>
      </c>
      <c r="E898" t="s">
        <v>186</v>
      </c>
    </row>
    <row r="899" spans="1:5">
      <c r="A899" s="3">
        <v>46196</v>
      </c>
      <c r="B899" t="s">
        <v>91</v>
      </c>
      <c r="C899" t="s">
        <v>92</v>
      </c>
      <c r="D899" t="s">
        <v>31</v>
      </c>
      <c r="E899" t="s">
        <v>184</v>
      </c>
    </row>
    <row r="900" spans="1:5">
      <c r="A900" s="3">
        <v>46196</v>
      </c>
      <c r="B900" t="s">
        <v>95</v>
      </c>
      <c r="C900" t="s">
        <v>96</v>
      </c>
      <c r="D900" t="s">
        <v>20</v>
      </c>
      <c r="E900" t="s">
        <v>184</v>
      </c>
    </row>
    <row r="901" spans="1:5">
      <c r="A901" s="3">
        <v>46196</v>
      </c>
      <c r="B901" t="s">
        <v>100</v>
      </c>
      <c r="C901" t="s">
        <v>101</v>
      </c>
      <c r="D901" t="s">
        <v>37</v>
      </c>
      <c r="E901" t="s">
        <v>184</v>
      </c>
    </row>
    <row r="902" spans="1:5">
      <c r="A902" s="3">
        <v>46196</v>
      </c>
      <c r="B902" t="s">
        <v>104</v>
      </c>
      <c r="C902" t="s">
        <v>105</v>
      </c>
      <c r="D902" t="s">
        <v>13</v>
      </c>
      <c r="E902" t="s">
        <v>184</v>
      </c>
    </row>
    <row r="903" spans="1:5">
      <c r="A903" s="3">
        <v>46196</v>
      </c>
      <c r="B903" t="s">
        <v>109</v>
      </c>
      <c r="C903" t="s">
        <v>110</v>
      </c>
      <c r="D903" t="s">
        <v>25</v>
      </c>
      <c r="E903" t="s">
        <v>184</v>
      </c>
    </row>
    <row r="904" spans="1:5">
      <c r="A904" s="3">
        <v>46196</v>
      </c>
      <c r="B904" t="s">
        <v>114</v>
      </c>
      <c r="C904" t="s">
        <v>115</v>
      </c>
      <c r="D904" t="s">
        <v>31</v>
      </c>
      <c r="E904" t="s">
        <v>185</v>
      </c>
    </row>
    <row r="905" spans="1:5">
      <c r="A905" s="3">
        <v>46196</v>
      </c>
      <c r="B905" t="s">
        <v>117</v>
      </c>
      <c r="C905" t="s">
        <v>118</v>
      </c>
      <c r="D905" t="s">
        <v>20</v>
      </c>
      <c r="E905" t="s">
        <v>184</v>
      </c>
    </row>
    <row r="906" spans="1:5">
      <c r="A906" s="3">
        <v>46196</v>
      </c>
      <c r="B906" t="s">
        <v>121</v>
      </c>
      <c r="C906" t="s">
        <v>122</v>
      </c>
      <c r="D906" t="s">
        <v>37</v>
      </c>
      <c r="E906" t="s">
        <v>186</v>
      </c>
    </row>
    <row r="907" spans="1:5">
      <c r="A907" s="3">
        <v>46196</v>
      </c>
      <c r="B907" t="s">
        <v>125</v>
      </c>
      <c r="C907" t="s">
        <v>126</v>
      </c>
      <c r="D907" t="s">
        <v>13</v>
      </c>
      <c r="E907" t="s">
        <v>184</v>
      </c>
    </row>
    <row r="908" spans="1:5">
      <c r="A908" s="3">
        <v>46196</v>
      </c>
      <c r="B908" t="s">
        <v>128</v>
      </c>
      <c r="C908" t="s">
        <v>129</v>
      </c>
      <c r="D908" t="s">
        <v>25</v>
      </c>
      <c r="E908" t="s">
        <v>184</v>
      </c>
    </row>
    <row r="909" spans="1:5">
      <c r="A909" s="3">
        <v>46196</v>
      </c>
      <c r="B909" t="s">
        <v>131</v>
      </c>
      <c r="C909" t="s">
        <v>132</v>
      </c>
      <c r="D909" t="s">
        <v>31</v>
      </c>
      <c r="E909" t="s">
        <v>185</v>
      </c>
    </row>
    <row r="910" spans="1:5">
      <c r="A910" s="3">
        <v>46196</v>
      </c>
      <c r="B910" t="s">
        <v>135</v>
      </c>
      <c r="C910" t="s">
        <v>136</v>
      </c>
      <c r="D910" t="s">
        <v>20</v>
      </c>
      <c r="E910" t="s">
        <v>184</v>
      </c>
    </row>
    <row r="911" spans="1:5">
      <c r="A911" s="3">
        <v>46196</v>
      </c>
      <c r="B911" t="s">
        <v>138</v>
      </c>
      <c r="C911" t="s">
        <v>139</v>
      </c>
      <c r="D911" t="s">
        <v>37</v>
      </c>
      <c r="E911" t="s">
        <v>184</v>
      </c>
    </row>
    <row r="912" spans="1:5">
      <c r="A912" s="3">
        <v>46196</v>
      </c>
      <c r="B912" t="s">
        <v>142</v>
      </c>
      <c r="C912" t="s">
        <v>143</v>
      </c>
      <c r="D912" t="s">
        <v>13</v>
      </c>
      <c r="E912" t="s">
        <v>184</v>
      </c>
    </row>
    <row r="913" spans="1:5">
      <c r="A913" s="3">
        <v>46196</v>
      </c>
      <c r="B913" t="s">
        <v>146</v>
      </c>
      <c r="C913" t="s">
        <v>147</v>
      </c>
      <c r="D913" t="s">
        <v>25</v>
      </c>
      <c r="E913" t="s">
        <v>184</v>
      </c>
    </row>
    <row r="914" spans="1:5">
      <c r="A914" s="3">
        <v>46196</v>
      </c>
      <c r="B914" t="s">
        <v>149</v>
      </c>
      <c r="C914" t="s">
        <v>150</v>
      </c>
      <c r="D914" t="s">
        <v>31</v>
      </c>
      <c r="E914" t="s">
        <v>184</v>
      </c>
    </row>
    <row r="915" spans="1:5">
      <c r="A915" s="3">
        <v>46196</v>
      </c>
      <c r="B915" t="s">
        <v>152</v>
      </c>
      <c r="C915" t="s">
        <v>153</v>
      </c>
      <c r="D915" t="s">
        <v>20</v>
      </c>
      <c r="E915" t="s">
        <v>186</v>
      </c>
    </row>
    <row r="916" spans="1:5">
      <c r="A916" s="3">
        <v>46196</v>
      </c>
      <c r="B916" t="s">
        <v>156</v>
      </c>
      <c r="C916" t="s">
        <v>157</v>
      </c>
      <c r="D916" t="s">
        <v>37</v>
      </c>
      <c r="E916" t="s">
        <v>184</v>
      </c>
    </row>
    <row r="917" spans="1:5">
      <c r="A917" s="3">
        <v>46196</v>
      </c>
      <c r="B917" t="s">
        <v>160</v>
      </c>
      <c r="C917" t="s">
        <v>161</v>
      </c>
      <c r="D917" t="s">
        <v>13</v>
      </c>
      <c r="E917" t="s">
        <v>184</v>
      </c>
    </row>
    <row r="918" spans="1:5">
      <c r="A918" s="3">
        <v>46196</v>
      </c>
      <c r="B918" t="s">
        <v>163</v>
      </c>
      <c r="C918" t="s">
        <v>164</v>
      </c>
      <c r="D918" t="s">
        <v>25</v>
      </c>
      <c r="E918" t="s">
        <v>186</v>
      </c>
    </row>
    <row r="919" spans="1:5">
      <c r="A919" s="3">
        <v>46196</v>
      </c>
      <c r="B919" t="s">
        <v>166</v>
      </c>
      <c r="C919" t="s">
        <v>167</v>
      </c>
      <c r="D919" t="s">
        <v>31</v>
      </c>
      <c r="E919" t="s">
        <v>186</v>
      </c>
    </row>
    <row r="920" spans="1:5">
      <c r="A920" s="3">
        <v>46196</v>
      </c>
      <c r="B920" t="s">
        <v>170</v>
      </c>
      <c r="C920" t="s">
        <v>171</v>
      </c>
      <c r="D920" t="s">
        <v>20</v>
      </c>
      <c r="E920" t="s">
        <v>184</v>
      </c>
    </row>
    <row r="921" spans="1:5">
      <c r="A921" s="3">
        <v>46196</v>
      </c>
      <c r="B921" t="s">
        <v>174</v>
      </c>
      <c r="C921" t="s">
        <v>175</v>
      </c>
      <c r="D921" t="s">
        <v>37</v>
      </c>
      <c r="E921" t="s">
        <v>186</v>
      </c>
    </row>
    <row r="922" spans="1:5">
      <c r="A922" s="3">
        <v>46197</v>
      </c>
      <c r="B922" t="s">
        <v>10</v>
      </c>
      <c r="C922" t="s">
        <v>11</v>
      </c>
      <c r="D922" t="s">
        <v>13</v>
      </c>
      <c r="E922" t="s">
        <v>184</v>
      </c>
    </row>
    <row r="923" spans="1:5">
      <c r="A923" s="3">
        <v>46197</v>
      </c>
      <c r="B923" t="s">
        <v>17</v>
      </c>
      <c r="C923" t="s">
        <v>18</v>
      </c>
      <c r="D923" t="s">
        <v>20</v>
      </c>
      <c r="E923" t="s">
        <v>184</v>
      </c>
    </row>
    <row r="924" spans="1:5">
      <c r="A924" s="3">
        <v>46197</v>
      </c>
      <c r="B924" t="s">
        <v>23</v>
      </c>
      <c r="C924" t="s">
        <v>24</v>
      </c>
      <c r="D924" t="s">
        <v>25</v>
      </c>
      <c r="E924" t="s">
        <v>184</v>
      </c>
    </row>
    <row r="925" spans="1:5">
      <c r="A925" s="3">
        <v>46197</v>
      </c>
      <c r="B925" t="s">
        <v>29</v>
      </c>
      <c r="C925" t="s">
        <v>30</v>
      </c>
      <c r="D925" t="s">
        <v>31</v>
      </c>
      <c r="E925" t="s">
        <v>185</v>
      </c>
    </row>
    <row r="926" spans="1:5">
      <c r="A926" s="3">
        <v>46197</v>
      </c>
      <c r="B926" t="s">
        <v>35</v>
      </c>
      <c r="C926" t="s">
        <v>36</v>
      </c>
      <c r="D926" t="s">
        <v>37</v>
      </c>
      <c r="E926" t="s">
        <v>184</v>
      </c>
    </row>
    <row r="927" spans="1:5">
      <c r="A927" s="3">
        <v>46197</v>
      </c>
      <c r="B927" t="s">
        <v>40</v>
      </c>
      <c r="C927" t="s">
        <v>41</v>
      </c>
      <c r="D927" t="s">
        <v>13</v>
      </c>
      <c r="E927" t="s">
        <v>184</v>
      </c>
    </row>
    <row r="928" spans="1:5">
      <c r="A928" s="3">
        <v>46197</v>
      </c>
      <c r="B928" t="s">
        <v>44</v>
      </c>
      <c r="C928" t="s">
        <v>45</v>
      </c>
      <c r="D928" t="s">
        <v>25</v>
      </c>
      <c r="E928" t="s">
        <v>184</v>
      </c>
    </row>
    <row r="929" spans="1:5">
      <c r="A929" s="3">
        <v>46197</v>
      </c>
      <c r="B929" t="s">
        <v>49</v>
      </c>
      <c r="C929" t="s">
        <v>50</v>
      </c>
      <c r="D929" t="s">
        <v>31</v>
      </c>
      <c r="E929" t="s">
        <v>186</v>
      </c>
    </row>
    <row r="930" spans="1:5">
      <c r="A930" s="3">
        <v>46197</v>
      </c>
      <c r="B930" t="s">
        <v>54</v>
      </c>
      <c r="C930" t="s">
        <v>55</v>
      </c>
      <c r="D930" t="s">
        <v>20</v>
      </c>
      <c r="E930" t="s">
        <v>184</v>
      </c>
    </row>
    <row r="931" spans="1:5">
      <c r="A931" s="3">
        <v>46197</v>
      </c>
      <c r="B931" t="s">
        <v>58</v>
      </c>
      <c r="C931" t="s">
        <v>59</v>
      </c>
      <c r="D931" t="s">
        <v>37</v>
      </c>
      <c r="E931" t="s">
        <v>184</v>
      </c>
    </row>
    <row r="932" spans="1:5">
      <c r="A932" s="3">
        <v>46197</v>
      </c>
      <c r="B932" t="s">
        <v>63</v>
      </c>
      <c r="C932" t="s">
        <v>64</v>
      </c>
      <c r="D932" t="s">
        <v>13</v>
      </c>
      <c r="E932" t="s">
        <v>184</v>
      </c>
    </row>
    <row r="933" spans="1:5">
      <c r="A933" s="3">
        <v>46197</v>
      </c>
      <c r="B933" t="s">
        <v>67</v>
      </c>
      <c r="C933" t="s">
        <v>68</v>
      </c>
      <c r="D933" t="s">
        <v>25</v>
      </c>
      <c r="E933" t="s">
        <v>184</v>
      </c>
    </row>
    <row r="934" spans="1:5">
      <c r="A934" s="3">
        <v>46197</v>
      </c>
      <c r="B934" t="s">
        <v>71</v>
      </c>
      <c r="C934" t="s">
        <v>72</v>
      </c>
      <c r="D934" t="s">
        <v>31</v>
      </c>
      <c r="E934" t="s">
        <v>184</v>
      </c>
    </row>
    <row r="935" spans="1:5">
      <c r="A935" s="3">
        <v>46197</v>
      </c>
      <c r="B935" t="s">
        <v>75</v>
      </c>
      <c r="C935" t="s">
        <v>76</v>
      </c>
      <c r="D935" t="s">
        <v>20</v>
      </c>
      <c r="E935" t="s">
        <v>184</v>
      </c>
    </row>
    <row r="936" spans="1:5">
      <c r="A936" s="3">
        <v>46197</v>
      </c>
      <c r="B936" t="s">
        <v>79</v>
      </c>
      <c r="C936" t="s">
        <v>80</v>
      </c>
      <c r="D936" t="s">
        <v>37</v>
      </c>
      <c r="E936" t="s">
        <v>184</v>
      </c>
    </row>
    <row r="937" spans="1:5">
      <c r="A937" s="3">
        <v>46197</v>
      </c>
      <c r="B937" t="s">
        <v>82</v>
      </c>
      <c r="C937" t="s">
        <v>83</v>
      </c>
      <c r="D937" t="s">
        <v>13</v>
      </c>
      <c r="E937" t="s">
        <v>184</v>
      </c>
    </row>
    <row r="938" spans="1:5">
      <c r="A938" s="3">
        <v>46197</v>
      </c>
      <c r="B938" t="s">
        <v>87</v>
      </c>
      <c r="C938" t="s">
        <v>88</v>
      </c>
      <c r="D938" t="s">
        <v>25</v>
      </c>
      <c r="E938" t="s">
        <v>184</v>
      </c>
    </row>
    <row r="939" spans="1:5">
      <c r="A939" s="3">
        <v>46197</v>
      </c>
      <c r="B939" t="s">
        <v>91</v>
      </c>
      <c r="C939" t="s">
        <v>92</v>
      </c>
      <c r="D939" t="s">
        <v>31</v>
      </c>
      <c r="E939" t="s">
        <v>184</v>
      </c>
    </row>
    <row r="940" spans="1:5">
      <c r="A940" s="3">
        <v>46197</v>
      </c>
      <c r="B940" t="s">
        <v>95</v>
      </c>
      <c r="C940" t="s">
        <v>96</v>
      </c>
      <c r="D940" t="s">
        <v>20</v>
      </c>
      <c r="E940" t="s">
        <v>186</v>
      </c>
    </row>
    <row r="941" spans="1:5">
      <c r="A941" s="3">
        <v>46197</v>
      </c>
      <c r="B941" t="s">
        <v>100</v>
      </c>
      <c r="C941" t="s">
        <v>101</v>
      </c>
      <c r="D941" t="s">
        <v>37</v>
      </c>
      <c r="E941" t="s">
        <v>184</v>
      </c>
    </row>
    <row r="942" spans="1:5">
      <c r="A942" s="3">
        <v>46197</v>
      </c>
      <c r="B942" t="s">
        <v>104</v>
      </c>
      <c r="C942" t="s">
        <v>105</v>
      </c>
      <c r="D942" t="s">
        <v>13</v>
      </c>
      <c r="E942" t="s">
        <v>184</v>
      </c>
    </row>
    <row r="943" spans="1:5">
      <c r="A943" s="3">
        <v>46197</v>
      </c>
      <c r="B943" t="s">
        <v>109</v>
      </c>
      <c r="C943" t="s">
        <v>110</v>
      </c>
      <c r="D943" t="s">
        <v>25</v>
      </c>
      <c r="E943" t="s">
        <v>184</v>
      </c>
    </row>
    <row r="944" spans="1:5">
      <c r="A944" s="3">
        <v>46197</v>
      </c>
      <c r="B944" t="s">
        <v>114</v>
      </c>
      <c r="C944" t="s">
        <v>115</v>
      </c>
      <c r="D944" t="s">
        <v>31</v>
      </c>
      <c r="E944" t="s">
        <v>184</v>
      </c>
    </row>
    <row r="945" spans="1:5">
      <c r="A945" s="3">
        <v>46197</v>
      </c>
      <c r="B945" t="s">
        <v>117</v>
      </c>
      <c r="C945" t="s">
        <v>118</v>
      </c>
      <c r="D945" t="s">
        <v>20</v>
      </c>
      <c r="E945" t="s">
        <v>184</v>
      </c>
    </row>
    <row r="946" spans="1:5">
      <c r="A946" s="3">
        <v>46197</v>
      </c>
      <c r="B946" t="s">
        <v>121</v>
      </c>
      <c r="C946" t="s">
        <v>122</v>
      </c>
      <c r="D946" t="s">
        <v>37</v>
      </c>
      <c r="E946" t="s">
        <v>184</v>
      </c>
    </row>
    <row r="947" spans="1:5">
      <c r="A947" s="3">
        <v>46197</v>
      </c>
      <c r="B947" t="s">
        <v>125</v>
      </c>
      <c r="C947" t="s">
        <v>126</v>
      </c>
      <c r="D947" t="s">
        <v>13</v>
      </c>
      <c r="E947" t="s">
        <v>184</v>
      </c>
    </row>
    <row r="948" spans="1:5">
      <c r="A948" s="3">
        <v>46197</v>
      </c>
      <c r="B948" t="s">
        <v>128</v>
      </c>
      <c r="C948" t="s">
        <v>129</v>
      </c>
      <c r="D948" t="s">
        <v>25</v>
      </c>
      <c r="E948" t="s">
        <v>184</v>
      </c>
    </row>
    <row r="949" spans="1:5">
      <c r="A949" s="3">
        <v>46197</v>
      </c>
      <c r="B949" t="s">
        <v>131</v>
      </c>
      <c r="C949" t="s">
        <v>132</v>
      </c>
      <c r="D949" t="s">
        <v>31</v>
      </c>
      <c r="E949" t="s">
        <v>186</v>
      </c>
    </row>
    <row r="950" spans="1:5">
      <c r="A950" s="3">
        <v>46197</v>
      </c>
      <c r="B950" t="s">
        <v>135</v>
      </c>
      <c r="C950" t="s">
        <v>136</v>
      </c>
      <c r="D950" t="s">
        <v>20</v>
      </c>
      <c r="E950" t="s">
        <v>184</v>
      </c>
    </row>
    <row r="951" spans="1:5">
      <c r="A951" s="3">
        <v>46197</v>
      </c>
      <c r="B951" t="s">
        <v>138</v>
      </c>
      <c r="C951" t="s">
        <v>139</v>
      </c>
      <c r="D951" t="s">
        <v>37</v>
      </c>
      <c r="E951" t="s">
        <v>184</v>
      </c>
    </row>
    <row r="952" spans="1:5">
      <c r="A952" s="3">
        <v>46197</v>
      </c>
      <c r="B952" t="s">
        <v>142</v>
      </c>
      <c r="C952" t="s">
        <v>143</v>
      </c>
      <c r="D952" t="s">
        <v>13</v>
      </c>
      <c r="E952" t="s">
        <v>184</v>
      </c>
    </row>
    <row r="953" spans="1:5">
      <c r="A953" s="3">
        <v>46197</v>
      </c>
      <c r="B953" t="s">
        <v>146</v>
      </c>
      <c r="C953" t="s">
        <v>147</v>
      </c>
      <c r="D953" t="s">
        <v>25</v>
      </c>
      <c r="E953" t="s">
        <v>184</v>
      </c>
    </row>
    <row r="954" spans="1:5">
      <c r="A954" s="3">
        <v>46197</v>
      </c>
      <c r="B954" t="s">
        <v>149</v>
      </c>
      <c r="C954" t="s">
        <v>150</v>
      </c>
      <c r="D954" t="s">
        <v>31</v>
      </c>
      <c r="E954" t="s">
        <v>184</v>
      </c>
    </row>
    <row r="955" spans="1:5">
      <c r="A955" s="3">
        <v>46197</v>
      </c>
      <c r="B955" t="s">
        <v>152</v>
      </c>
      <c r="C955" t="s">
        <v>153</v>
      </c>
      <c r="D955" t="s">
        <v>20</v>
      </c>
      <c r="E955" t="s">
        <v>185</v>
      </c>
    </row>
    <row r="956" spans="1:5">
      <c r="A956" s="3">
        <v>46197</v>
      </c>
      <c r="B956" t="s">
        <v>156</v>
      </c>
      <c r="C956" t="s">
        <v>157</v>
      </c>
      <c r="D956" t="s">
        <v>37</v>
      </c>
      <c r="E956" t="s">
        <v>184</v>
      </c>
    </row>
    <row r="957" spans="1:5">
      <c r="A957" s="3">
        <v>46197</v>
      </c>
      <c r="B957" t="s">
        <v>160</v>
      </c>
      <c r="C957" t="s">
        <v>161</v>
      </c>
      <c r="D957" t="s">
        <v>13</v>
      </c>
      <c r="E957" t="s">
        <v>184</v>
      </c>
    </row>
    <row r="958" spans="1:5">
      <c r="A958" s="3">
        <v>46197</v>
      </c>
      <c r="B958" t="s">
        <v>163</v>
      </c>
      <c r="C958" t="s">
        <v>164</v>
      </c>
      <c r="D958" t="s">
        <v>25</v>
      </c>
      <c r="E958" t="s">
        <v>186</v>
      </c>
    </row>
    <row r="959" spans="1:5">
      <c r="A959" s="3">
        <v>46197</v>
      </c>
      <c r="B959" t="s">
        <v>166</v>
      </c>
      <c r="C959" t="s">
        <v>167</v>
      </c>
      <c r="D959" t="s">
        <v>31</v>
      </c>
      <c r="E959" t="s">
        <v>184</v>
      </c>
    </row>
    <row r="960" spans="1:5">
      <c r="A960" s="3">
        <v>46197</v>
      </c>
      <c r="B960" t="s">
        <v>170</v>
      </c>
      <c r="C960" t="s">
        <v>171</v>
      </c>
      <c r="D960" t="s">
        <v>20</v>
      </c>
      <c r="E960" t="s">
        <v>184</v>
      </c>
    </row>
    <row r="961" spans="1:5">
      <c r="A961" s="3">
        <v>46197</v>
      </c>
      <c r="B961" t="s">
        <v>174</v>
      </c>
      <c r="C961" t="s">
        <v>175</v>
      </c>
      <c r="D961" t="s">
        <v>37</v>
      </c>
      <c r="E961" t="s">
        <v>185</v>
      </c>
    </row>
    <row r="962" spans="1:5">
      <c r="A962" s="3">
        <v>46198</v>
      </c>
      <c r="B962" t="s">
        <v>10</v>
      </c>
      <c r="C962" t="s">
        <v>11</v>
      </c>
      <c r="D962" t="s">
        <v>13</v>
      </c>
      <c r="E962" t="s">
        <v>184</v>
      </c>
    </row>
    <row r="963" spans="1:5">
      <c r="A963" s="3">
        <v>46198</v>
      </c>
      <c r="B963" t="s">
        <v>17</v>
      </c>
      <c r="C963" t="s">
        <v>18</v>
      </c>
      <c r="D963" t="s">
        <v>20</v>
      </c>
      <c r="E963" t="s">
        <v>184</v>
      </c>
    </row>
    <row r="964" spans="1:5">
      <c r="A964" s="3">
        <v>46198</v>
      </c>
      <c r="B964" t="s">
        <v>23</v>
      </c>
      <c r="C964" t="s">
        <v>24</v>
      </c>
      <c r="D964" t="s">
        <v>25</v>
      </c>
      <c r="E964" t="s">
        <v>184</v>
      </c>
    </row>
    <row r="965" spans="1:5">
      <c r="A965" s="3">
        <v>46198</v>
      </c>
      <c r="B965" t="s">
        <v>29</v>
      </c>
      <c r="C965" t="s">
        <v>30</v>
      </c>
      <c r="D965" t="s">
        <v>31</v>
      </c>
      <c r="E965" t="s">
        <v>184</v>
      </c>
    </row>
    <row r="966" spans="1:5">
      <c r="A966" s="3">
        <v>46198</v>
      </c>
      <c r="B966" t="s">
        <v>35</v>
      </c>
      <c r="C966" t="s">
        <v>36</v>
      </c>
      <c r="D966" t="s">
        <v>37</v>
      </c>
      <c r="E966" t="s">
        <v>184</v>
      </c>
    </row>
    <row r="967" spans="1:5">
      <c r="A967" s="3">
        <v>46198</v>
      </c>
      <c r="B967" t="s">
        <v>40</v>
      </c>
      <c r="C967" t="s">
        <v>41</v>
      </c>
      <c r="D967" t="s">
        <v>13</v>
      </c>
      <c r="E967" t="s">
        <v>186</v>
      </c>
    </row>
    <row r="968" spans="1:5">
      <c r="A968" s="3">
        <v>46198</v>
      </c>
      <c r="B968" t="s">
        <v>44</v>
      </c>
      <c r="C968" t="s">
        <v>45</v>
      </c>
      <c r="D968" t="s">
        <v>25</v>
      </c>
      <c r="E968" t="s">
        <v>184</v>
      </c>
    </row>
    <row r="969" spans="1:5">
      <c r="A969" s="3">
        <v>46198</v>
      </c>
      <c r="B969" t="s">
        <v>49</v>
      </c>
      <c r="C969" t="s">
        <v>50</v>
      </c>
      <c r="D969" t="s">
        <v>31</v>
      </c>
      <c r="E969" t="s">
        <v>184</v>
      </c>
    </row>
    <row r="970" spans="1:5">
      <c r="A970" s="3">
        <v>46198</v>
      </c>
      <c r="B970" t="s">
        <v>54</v>
      </c>
      <c r="C970" t="s">
        <v>55</v>
      </c>
      <c r="D970" t="s">
        <v>20</v>
      </c>
      <c r="E970" t="s">
        <v>184</v>
      </c>
    </row>
    <row r="971" spans="1:5">
      <c r="A971" s="3">
        <v>46198</v>
      </c>
      <c r="B971" t="s">
        <v>58</v>
      </c>
      <c r="C971" t="s">
        <v>59</v>
      </c>
      <c r="D971" t="s">
        <v>37</v>
      </c>
      <c r="E971" t="s">
        <v>184</v>
      </c>
    </row>
    <row r="972" spans="1:5">
      <c r="A972" s="3">
        <v>46198</v>
      </c>
      <c r="B972" t="s">
        <v>63</v>
      </c>
      <c r="C972" t="s">
        <v>64</v>
      </c>
      <c r="D972" t="s">
        <v>13</v>
      </c>
      <c r="E972" t="s">
        <v>184</v>
      </c>
    </row>
    <row r="973" spans="1:5">
      <c r="A973" s="3">
        <v>46198</v>
      </c>
      <c r="B973" t="s">
        <v>67</v>
      </c>
      <c r="C973" t="s">
        <v>68</v>
      </c>
      <c r="D973" t="s">
        <v>25</v>
      </c>
      <c r="E973" t="s">
        <v>184</v>
      </c>
    </row>
    <row r="974" spans="1:5">
      <c r="A974" s="3">
        <v>46198</v>
      </c>
      <c r="B974" t="s">
        <v>71</v>
      </c>
      <c r="C974" t="s">
        <v>72</v>
      </c>
      <c r="D974" t="s">
        <v>31</v>
      </c>
      <c r="E974" t="s">
        <v>184</v>
      </c>
    </row>
    <row r="975" spans="1:5">
      <c r="A975" s="3">
        <v>46198</v>
      </c>
      <c r="B975" t="s">
        <v>75</v>
      </c>
      <c r="C975" t="s">
        <v>76</v>
      </c>
      <c r="D975" t="s">
        <v>20</v>
      </c>
      <c r="E975" t="s">
        <v>184</v>
      </c>
    </row>
    <row r="976" spans="1:5">
      <c r="A976" s="3">
        <v>46198</v>
      </c>
      <c r="B976" t="s">
        <v>79</v>
      </c>
      <c r="C976" t="s">
        <v>80</v>
      </c>
      <c r="D976" t="s">
        <v>37</v>
      </c>
      <c r="E976" t="s">
        <v>184</v>
      </c>
    </row>
    <row r="977" spans="1:5">
      <c r="A977" s="3">
        <v>46198</v>
      </c>
      <c r="B977" t="s">
        <v>82</v>
      </c>
      <c r="C977" t="s">
        <v>83</v>
      </c>
      <c r="D977" t="s">
        <v>13</v>
      </c>
      <c r="E977" t="s">
        <v>184</v>
      </c>
    </row>
    <row r="978" spans="1:5">
      <c r="A978" s="3">
        <v>46198</v>
      </c>
      <c r="B978" t="s">
        <v>87</v>
      </c>
      <c r="C978" t="s">
        <v>88</v>
      </c>
      <c r="D978" t="s">
        <v>25</v>
      </c>
      <c r="E978" t="s">
        <v>184</v>
      </c>
    </row>
    <row r="979" spans="1:5">
      <c r="A979" s="3">
        <v>46198</v>
      </c>
      <c r="B979" t="s">
        <v>91</v>
      </c>
      <c r="C979" t="s">
        <v>92</v>
      </c>
      <c r="D979" t="s">
        <v>31</v>
      </c>
      <c r="E979" t="s">
        <v>184</v>
      </c>
    </row>
    <row r="980" spans="1:5">
      <c r="A980" s="3">
        <v>46198</v>
      </c>
      <c r="B980" t="s">
        <v>95</v>
      </c>
      <c r="C980" t="s">
        <v>96</v>
      </c>
      <c r="D980" t="s">
        <v>20</v>
      </c>
      <c r="E980" t="s">
        <v>184</v>
      </c>
    </row>
    <row r="981" spans="1:5">
      <c r="A981" s="3">
        <v>46198</v>
      </c>
      <c r="B981" t="s">
        <v>100</v>
      </c>
      <c r="C981" t="s">
        <v>101</v>
      </c>
      <c r="D981" t="s">
        <v>37</v>
      </c>
      <c r="E981" t="s">
        <v>184</v>
      </c>
    </row>
    <row r="982" spans="1:5">
      <c r="A982" s="3">
        <v>46198</v>
      </c>
      <c r="B982" t="s">
        <v>104</v>
      </c>
      <c r="C982" t="s">
        <v>105</v>
      </c>
      <c r="D982" t="s">
        <v>13</v>
      </c>
      <c r="E982" t="s">
        <v>184</v>
      </c>
    </row>
    <row r="983" spans="1:5">
      <c r="A983" s="3">
        <v>46198</v>
      </c>
      <c r="B983" t="s">
        <v>109</v>
      </c>
      <c r="C983" t="s">
        <v>110</v>
      </c>
      <c r="D983" t="s">
        <v>25</v>
      </c>
      <c r="E983" t="s">
        <v>184</v>
      </c>
    </row>
    <row r="984" spans="1:5">
      <c r="A984" s="3">
        <v>46198</v>
      </c>
      <c r="B984" t="s">
        <v>114</v>
      </c>
      <c r="C984" t="s">
        <v>115</v>
      </c>
      <c r="D984" t="s">
        <v>31</v>
      </c>
      <c r="E984" t="s">
        <v>184</v>
      </c>
    </row>
    <row r="985" spans="1:5">
      <c r="A985" s="3">
        <v>46198</v>
      </c>
      <c r="B985" t="s">
        <v>117</v>
      </c>
      <c r="C985" t="s">
        <v>118</v>
      </c>
      <c r="D985" t="s">
        <v>20</v>
      </c>
      <c r="E985" t="s">
        <v>184</v>
      </c>
    </row>
    <row r="986" spans="1:5">
      <c r="A986" s="3">
        <v>46198</v>
      </c>
      <c r="B986" t="s">
        <v>121</v>
      </c>
      <c r="C986" t="s">
        <v>122</v>
      </c>
      <c r="D986" t="s">
        <v>37</v>
      </c>
      <c r="E986" t="s">
        <v>184</v>
      </c>
    </row>
    <row r="987" spans="1:5">
      <c r="A987" s="3">
        <v>46198</v>
      </c>
      <c r="B987" t="s">
        <v>125</v>
      </c>
      <c r="C987" t="s">
        <v>126</v>
      </c>
      <c r="D987" t="s">
        <v>13</v>
      </c>
      <c r="E987" t="s">
        <v>184</v>
      </c>
    </row>
    <row r="988" spans="1:5">
      <c r="A988" s="3">
        <v>46198</v>
      </c>
      <c r="B988" t="s">
        <v>128</v>
      </c>
      <c r="C988" t="s">
        <v>129</v>
      </c>
      <c r="D988" t="s">
        <v>25</v>
      </c>
      <c r="E988" t="s">
        <v>186</v>
      </c>
    </row>
    <row r="989" spans="1:5">
      <c r="A989" s="3">
        <v>46198</v>
      </c>
      <c r="B989" t="s">
        <v>131</v>
      </c>
      <c r="C989" t="s">
        <v>132</v>
      </c>
      <c r="D989" t="s">
        <v>31</v>
      </c>
      <c r="E989" t="s">
        <v>184</v>
      </c>
    </row>
    <row r="990" spans="1:5">
      <c r="A990" s="3">
        <v>46198</v>
      </c>
      <c r="B990" t="s">
        <v>135</v>
      </c>
      <c r="C990" t="s">
        <v>136</v>
      </c>
      <c r="D990" t="s">
        <v>20</v>
      </c>
      <c r="E990" t="s">
        <v>184</v>
      </c>
    </row>
    <row r="991" spans="1:5">
      <c r="A991" s="3">
        <v>46198</v>
      </c>
      <c r="B991" t="s">
        <v>138</v>
      </c>
      <c r="C991" t="s">
        <v>139</v>
      </c>
      <c r="D991" t="s">
        <v>37</v>
      </c>
      <c r="E991" t="s">
        <v>184</v>
      </c>
    </row>
    <row r="992" spans="1:5">
      <c r="A992" s="3">
        <v>46198</v>
      </c>
      <c r="B992" t="s">
        <v>142</v>
      </c>
      <c r="C992" t="s">
        <v>143</v>
      </c>
      <c r="D992" t="s">
        <v>13</v>
      </c>
      <c r="E992" t="s">
        <v>184</v>
      </c>
    </row>
    <row r="993" spans="1:5">
      <c r="A993" s="3">
        <v>46198</v>
      </c>
      <c r="B993" t="s">
        <v>146</v>
      </c>
      <c r="C993" t="s">
        <v>147</v>
      </c>
      <c r="D993" t="s">
        <v>25</v>
      </c>
      <c r="E993" t="s">
        <v>184</v>
      </c>
    </row>
    <row r="994" spans="1:5">
      <c r="A994" s="3">
        <v>46198</v>
      </c>
      <c r="B994" t="s">
        <v>149</v>
      </c>
      <c r="C994" t="s">
        <v>150</v>
      </c>
      <c r="D994" t="s">
        <v>31</v>
      </c>
      <c r="E994" t="s">
        <v>184</v>
      </c>
    </row>
    <row r="995" spans="1:5">
      <c r="A995" s="3">
        <v>46198</v>
      </c>
      <c r="B995" t="s">
        <v>152</v>
      </c>
      <c r="C995" t="s">
        <v>153</v>
      </c>
      <c r="D995" t="s">
        <v>20</v>
      </c>
      <c r="E995" t="s">
        <v>184</v>
      </c>
    </row>
    <row r="996" spans="1:5">
      <c r="A996" s="3">
        <v>46198</v>
      </c>
      <c r="B996" t="s">
        <v>156</v>
      </c>
      <c r="C996" t="s">
        <v>157</v>
      </c>
      <c r="D996" t="s">
        <v>37</v>
      </c>
      <c r="E996" t="s">
        <v>184</v>
      </c>
    </row>
    <row r="997" spans="1:5">
      <c r="A997" s="3">
        <v>46198</v>
      </c>
      <c r="B997" t="s">
        <v>160</v>
      </c>
      <c r="C997" t="s">
        <v>161</v>
      </c>
      <c r="D997" t="s">
        <v>13</v>
      </c>
      <c r="E997" t="s">
        <v>186</v>
      </c>
    </row>
    <row r="998" spans="1:5">
      <c r="A998" s="3">
        <v>46198</v>
      </c>
      <c r="B998" t="s">
        <v>163</v>
      </c>
      <c r="C998" t="s">
        <v>164</v>
      </c>
      <c r="D998" t="s">
        <v>25</v>
      </c>
      <c r="E998" t="s">
        <v>184</v>
      </c>
    </row>
    <row r="999" spans="1:5">
      <c r="A999" s="3">
        <v>46198</v>
      </c>
      <c r="B999" t="s">
        <v>166</v>
      </c>
      <c r="C999" t="s">
        <v>167</v>
      </c>
      <c r="D999" t="s">
        <v>31</v>
      </c>
      <c r="E999" t="s">
        <v>184</v>
      </c>
    </row>
    <row r="1000" spans="1:5">
      <c r="A1000" s="3">
        <v>46198</v>
      </c>
      <c r="B1000" t="s">
        <v>170</v>
      </c>
      <c r="C1000" t="s">
        <v>171</v>
      </c>
      <c r="D1000" t="s">
        <v>20</v>
      </c>
      <c r="E1000" t="s">
        <v>184</v>
      </c>
    </row>
    <row r="1001" spans="1:5">
      <c r="A1001" s="3">
        <v>46198</v>
      </c>
      <c r="B1001" t="s">
        <v>174</v>
      </c>
      <c r="C1001" t="s">
        <v>175</v>
      </c>
      <c r="D1001" t="s">
        <v>37</v>
      </c>
      <c r="E1001" t="s">
        <v>184</v>
      </c>
    </row>
    <row r="1002" spans="1:5">
      <c r="A1002" s="3">
        <v>46199</v>
      </c>
      <c r="B1002" t="s">
        <v>10</v>
      </c>
      <c r="C1002" t="s">
        <v>11</v>
      </c>
      <c r="D1002" t="s">
        <v>13</v>
      </c>
      <c r="E1002" t="s">
        <v>186</v>
      </c>
    </row>
    <row r="1003" spans="1:5">
      <c r="A1003" s="3">
        <v>46199</v>
      </c>
      <c r="B1003" t="s">
        <v>17</v>
      </c>
      <c r="C1003" t="s">
        <v>18</v>
      </c>
      <c r="D1003" t="s">
        <v>20</v>
      </c>
      <c r="E1003" t="s">
        <v>184</v>
      </c>
    </row>
    <row r="1004" spans="1:5">
      <c r="A1004" s="3">
        <v>46199</v>
      </c>
      <c r="B1004" t="s">
        <v>23</v>
      </c>
      <c r="C1004" t="s">
        <v>24</v>
      </c>
      <c r="D1004" t="s">
        <v>25</v>
      </c>
      <c r="E1004" t="s">
        <v>184</v>
      </c>
    </row>
    <row r="1005" spans="1:5">
      <c r="A1005" s="3">
        <v>46199</v>
      </c>
      <c r="B1005" t="s">
        <v>29</v>
      </c>
      <c r="C1005" t="s">
        <v>30</v>
      </c>
      <c r="D1005" t="s">
        <v>31</v>
      </c>
      <c r="E1005" t="s">
        <v>186</v>
      </c>
    </row>
    <row r="1006" spans="1:5">
      <c r="A1006" s="3">
        <v>46199</v>
      </c>
      <c r="B1006" t="s">
        <v>35</v>
      </c>
      <c r="C1006" t="s">
        <v>36</v>
      </c>
      <c r="D1006" t="s">
        <v>37</v>
      </c>
      <c r="E1006" t="s">
        <v>186</v>
      </c>
    </row>
    <row r="1007" spans="1:5">
      <c r="A1007" s="3">
        <v>46199</v>
      </c>
      <c r="B1007" t="s">
        <v>40</v>
      </c>
      <c r="C1007" t="s">
        <v>41</v>
      </c>
      <c r="D1007" t="s">
        <v>13</v>
      </c>
      <c r="E1007" t="s">
        <v>186</v>
      </c>
    </row>
    <row r="1008" spans="1:5">
      <c r="A1008" s="3">
        <v>46199</v>
      </c>
      <c r="B1008" t="s">
        <v>44</v>
      </c>
      <c r="C1008" t="s">
        <v>45</v>
      </c>
      <c r="D1008" t="s">
        <v>25</v>
      </c>
      <c r="E1008" t="s">
        <v>184</v>
      </c>
    </row>
    <row r="1009" spans="1:5">
      <c r="A1009" s="3">
        <v>46199</v>
      </c>
      <c r="B1009" t="s">
        <v>49</v>
      </c>
      <c r="C1009" t="s">
        <v>50</v>
      </c>
      <c r="D1009" t="s">
        <v>31</v>
      </c>
      <c r="E1009" t="s">
        <v>184</v>
      </c>
    </row>
    <row r="1010" spans="1:5">
      <c r="A1010" s="3">
        <v>46199</v>
      </c>
      <c r="B1010" t="s">
        <v>54</v>
      </c>
      <c r="C1010" t="s">
        <v>55</v>
      </c>
      <c r="D1010" t="s">
        <v>20</v>
      </c>
      <c r="E1010" t="s">
        <v>185</v>
      </c>
    </row>
    <row r="1011" spans="1:5">
      <c r="A1011" s="3">
        <v>46199</v>
      </c>
      <c r="B1011" t="s">
        <v>58</v>
      </c>
      <c r="C1011" t="s">
        <v>59</v>
      </c>
      <c r="D1011" t="s">
        <v>37</v>
      </c>
      <c r="E1011" t="s">
        <v>184</v>
      </c>
    </row>
    <row r="1012" spans="1:5">
      <c r="A1012" s="3">
        <v>46199</v>
      </c>
      <c r="B1012" t="s">
        <v>63</v>
      </c>
      <c r="C1012" t="s">
        <v>64</v>
      </c>
      <c r="D1012" t="s">
        <v>13</v>
      </c>
      <c r="E1012" t="s">
        <v>184</v>
      </c>
    </row>
    <row r="1013" spans="1:5">
      <c r="A1013" s="3">
        <v>46199</v>
      </c>
      <c r="B1013" t="s">
        <v>67</v>
      </c>
      <c r="C1013" t="s">
        <v>68</v>
      </c>
      <c r="D1013" t="s">
        <v>25</v>
      </c>
      <c r="E1013" t="s">
        <v>184</v>
      </c>
    </row>
    <row r="1014" spans="1:5">
      <c r="A1014" s="3">
        <v>46199</v>
      </c>
      <c r="B1014" t="s">
        <v>71</v>
      </c>
      <c r="C1014" t="s">
        <v>72</v>
      </c>
      <c r="D1014" t="s">
        <v>31</v>
      </c>
      <c r="E1014" t="s">
        <v>187</v>
      </c>
    </row>
    <row r="1015" spans="1:5">
      <c r="A1015" s="3">
        <v>46199</v>
      </c>
      <c r="B1015" t="s">
        <v>75</v>
      </c>
      <c r="C1015" t="s">
        <v>76</v>
      </c>
      <c r="D1015" t="s">
        <v>20</v>
      </c>
      <c r="E1015" t="s">
        <v>184</v>
      </c>
    </row>
    <row r="1016" spans="1:5">
      <c r="A1016" s="3">
        <v>46199</v>
      </c>
      <c r="B1016" t="s">
        <v>79</v>
      </c>
      <c r="C1016" t="s">
        <v>80</v>
      </c>
      <c r="D1016" t="s">
        <v>37</v>
      </c>
      <c r="E1016" t="s">
        <v>184</v>
      </c>
    </row>
    <row r="1017" spans="1:5">
      <c r="A1017" s="3">
        <v>46199</v>
      </c>
      <c r="B1017" t="s">
        <v>82</v>
      </c>
      <c r="C1017" t="s">
        <v>83</v>
      </c>
      <c r="D1017" t="s">
        <v>13</v>
      </c>
      <c r="E1017" t="s">
        <v>186</v>
      </c>
    </row>
    <row r="1018" spans="1:5">
      <c r="A1018" s="3">
        <v>46199</v>
      </c>
      <c r="B1018" t="s">
        <v>87</v>
      </c>
      <c r="C1018" t="s">
        <v>88</v>
      </c>
      <c r="D1018" t="s">
        <v>25</v>
      </c>
      <c r="E1018" t="s">
        <v>184</v>
      </c>
    </row>
    <row r="1019" spans="1:5">
      <c r="A1019" s="3">
        <v>46199</v>
      </c>
      <c r="B1019" t="s">
        <v>91</v>
      </c>
      <c r="C1019" t="s">
        <v>92</v>
      </c>
      <c r="D1019" t="s">
        <v>31</v>
      </c>
      <c r="E1019" t="s">
        <v>185</v>
      </c>
    </row>
    <row r="1020" spans="1:5">
      <c r="A1020" s="3">
        <v>46199</v>
      </c>
      <c r="B1020" t="s">
        <v>95</v>
      </c>
      <c r="C1020" t="s">
        <v>96</v>
      </c>
      <c r="D1020" t="s">
        <v>20</v>
      </c>
      <c r="E1020" t="s">
        <v>184</v>
      </c>
    </row>
    <row r="1021" spans="1:5">
      <c r="A1021" s="3">
        <v>46199</v>
      </c>
      <c r="B1021" t="s">
        <v>100</v>
      </c>
      <c r="C1021" t="s">
        <v>101</v>
      </c>
      <c r="D1021" t="s">
        <v>37</v>
      </c>
      <c r="E1021" t="s">
        <v>184</v>
      </c>
    </row>
    <row r="1022" spans="1:5">
      <c r="A1022" s="3">
        <v>46199</v>
      </c>
      <c r="B1022" t="s">
        <v>104</v>
      </c>
      <c r="C1022" t="s">
        <v>105</v>
      </c>
      <c r="D1022" t="s">
        <v>13</v>
      </c>
      <c r="E1022" t="s">
        <v>184</v>
      </c>
    </row>
    <row r="1023" spans="1:5">
      <c r="A1023" s="3">
        <v>46199</v>
      </c>
      <c r="B1023" t="s">
        <v>109</v>
      </c>
      <c r="C1023" t="s">
        <v>110</v>
      </c>
      <c r="D1023" t="s">
        <v>25</v>
      </c>
      <c r="E1023" t="s">
        <v>184</v>
      </c>
    </row>
    <row r="1024" spans="1:5">
      <c r="A1024" s="3">
        <v>46199</v>
      </c>
      <c r="B1024" t="s">
        <v>114</v>
      </c>
      <c r="C1024" t="s">
        <v>115</v>
      </c>
      <c r="D1024" t="s">
        <v>31</v>
      </c>
      <c r="E1024" t="s">
        <v>184</v>
      </c>
    </row>
    <row r="1025" spans="1:5">
      <c r="A1025" s="3">
        <v>46199</v>
      </c>
      <c r="B1025" t="s">
        <v>117</v>
      </c>
      <c r="C1025" t="s">
        <v>118</v>
      </c>
      <c r="D1025" t="s">
        <v>20</v>
      </c>
      <c r="E1025" t="s">
        <v>184</v>
      </c>
    </row>
    <row r="1026" spans="1:5">
      <c r="A1026" s="3">
        <v>46199</v>
      </c>
      <c r="B1026" t="s">
        <v>121</v>
      </c>
      <c r="C1026" t="s">
        <v>122</v>
      </c>
      <c r="D1026" t="s">
        <v>37</v>
      </c>
      <c r="E1026" t="s">
        <v>184</v>
      </c>
    </row>
    <row r="1027" spans="1:5">
      <c r="A1027" s="3">
        <v>46199</v>
      </c>
      <c r="B1027" t="s">
        <v>125</v>
      </c>
      <c r="C1027" t="s">
        <v>126</v>
      </c>
      <c r="D1027" t="s">
        <v>13</v>
      </c>
      <c r="E1027" t="s">
        <v>184</v>
      </c>
    </row>
    <row r="1028" spans="1:5">
      <c r="A1028" s="3">
        <v>46199</v>
      </c>
      <c r="B1028" t="s">
        <v>128</v>
      </c>
      <c r="C1028" t="s">
        <v>129</v>
      </c>
      <c r="D1028" t="s">
        <v>25</v>
      </c>
      <c r="E1028" t="s">
        <v>184</v>
      </c>
    </row>
    <row r="1029" spans="1:5">
      <c r="A1029" s="3">
        <v>46199</v>
      </c>
      <c r="B1029" t="s">
        <v>131</v>
      </c>
      <c r="C1029" t="s">
        <v>132</v>
      </c>
      <c r="D1029" t="s">
        <v>31</v>
      </c>
      <c r="E1029" t="s">
        <v>184</v>
      </c>
    </row>
    <row r="1030" spans="1:5">
      <c r="A1030" s="3">
        <v>46199</v>
      </c>
      <c r="B1030" t="s">
        <v>135</v>
      </c>
      <c r="C1030" t="s">
        <v>136</v>
      </c>
      <c r="D1030" t="s">
        <v>20</v>
      </c>
      <c r="E1030" t="s">
        <v>184</v>
      </c>
    </row>
    <row r="1031" spans="1:5">
      <c r="A1031" s="3">
        <v>46199</v>
      </c>
      <c r="B1031" t="s">
        <v>138</v>
      </c>
      <c r="C1031" t="s">
        <v>139</v>
      </c>
      <c r="D1031" t="s">
        <v>37</v>
      </c>
      <c r="E1031" t="s">
        <v>184</v>
      </c>
    </row>
    <row r="1032" spans="1:5">
      <c r="A1032" s="3">
        <v>46199</v>
      </c>
      <c r="B1032" t="s">
        <v>142</v>
      </c>
      <c r="C1032" t="s">
        <v>143</v>
      </c>
      <c r="D1032" t="s">
        <v>13</v>
      </c>
      <c r="E1032" t="s">
        <v>184</v>
      </c>
    </row>
    <row r="1033" spans="1:5">
      <c r="A1033" s="3">
        <v>46199</v>
      </c>
      <c r="B1033" t="s">
        <v>146</v>
      </c>
      <c r="C1033" t="s">
        <v>147</v>
      </c>
      <c r="D1033" t="s">
        <v>25</v>
      </c>
      <c r="E1033" t="s">
        <v>184</v>
      </c>
    </row>
    <row r="1034" spans="1:5">
      <c r="A1034" s="3">
        <v>46199</v>
      </c>
      <c r="B1034" t="s">
        <v>149</v>
      </c>
      <c r="C1034" t="s">
        <v>150</v>
      </c>
      <c r="D1034" t="s">
        <v>31</v>
      </c>
      <c r="E1034" t="s">
        <v>184</v>
      </c>
    </row>
    <row r="1035" spans="1:5">
      <c r="A1035" s="3">
        <v>46199</v>
      </c>
      <c r="B1035" t="s">
        <v>152</v>
      </c>
      <c r="C1035" t="s">
        <v>153</v>
      </c>
      <c r="D1035" t="s">
        <v>20</v>
      </c>
      <c r="E1035" t="s">
        <v>184</v>
      </c>
    </row>
    <row r="1036" spans="1:5">
      <c r="A1036" s="3">
        <v>46199</v>
      </c>
      <c r="B1036" t="s">
        <v>156</v>
      </c>
      <c r="C1036" t="s">
        <v>157</v>
      </c>
      <c r="D1036" t="s">
        <v>37</v>
      </c>
      <c r="E1036" t="s">
        <v>186</v>
      </c>
    </row>
    <row r="1037" spans="1:5">
      <c r="A1037" s="3">
        <v>46199</v>
      </c>
      <c r="B1037" t="s">
        <v>160</v>
      </c>
      <c r="C1037" t="s">
        <v>161</v>
      </c>
      <c r="D1037" t="s">
        <v>13</v>
      </c>
      <c r="E1037" t="s">
        <v>184</v>
      </c>
    </row>
    <row r="1038" spans="1:5">
      <c r="A1038" s="3">
        <v>46199</v>
      </c>
      <c r="B1038" t="s">
        <v>163</v>
      </c>
      <c r="C1038" t="s">
        <v>164</v>
      </c>
      <c r="D1038" t="s">
        <v>25</v>
      </c>
      <c r="E1038" t="s">
        <v>186</v>
      </c>
    </row>
    <row r="1039" spans="1:5">
      <c r="A1039" s="3">
        <v>46199</v>
      </c>
      <c r="B1039" t="s">
        <v>166</v>
      </c>
      <c r="C1039" t="s">
        <v>167</v>
      </c>
      <c r="D1039" t="s">
        <v>31</v>
      </c>
      <c r="E1039" t="s">
        <v>184</v>
      </c>
    </row>
    <row r="1040" spans="1:5">
      <c r="A1040" s="3">
        <v>46199</v>
      </c>
      <c r="B1040" t="s">
        <v>170</v>
      </c>
      <c r="C1040" t="s">
        <v>171</v>
      </c>
      <c r="D1040" t="s">
        <v>20</v>
      </c>
      <c r="E1040" t="s">
        <v>184</v>
      </c>
    </row>
    <row r="1041" spans="1:5">
      <c r="A1041" s="3">
        <v>46199</v>
      </c>
      <c r="B1041" t="s">
        <v>174</v>
      </c>
      <c r="C1041" t="s">
        <v>175</v>
      </c>
      <c r="D1041" t="s">
        <v>37</v>
      </c>
      <c r="E1041" t="s">
        <v>184</v>
      </c>
    </row>
    <row r="1042" spans="1:5">
      <c r="A1042" s="3">
        <v>46200</v>
      </c>
      <c r="B1042" t="s">
        <v>10</v>
      </c>
      <c r="C1042" t="s">
        <v>11</v>
      </c>
      <c r="D1042" t="s">
        <v>13</v>
      </c>
      <c r="E1042" t="s">
        <v>184</v>
      </c>
    </row>
    <row r="1043" spans="1:5">
      <c r="A1043" s="3">
        <v>46200</v>
      </c>
      <c r="B1043" t="s">
        <v>17</v>
      </c>
      <c r="C1043" t="s">
        <v>18</v>
      </c>
      <c r="D1043" t="s">
        <v>20</v>
      </c>
      <c r="E1043" t="s">
        <v>184</v>
      </c>
    </row>
    <row r="1044" spans="1:5">
      <c r="A1044" s="3">
        <v>46200</v>
      </c>
      <c r="B1044" t="s">
        <v>23</v>
      </c>
      <c r="C1044" t="s">
        <v>24</v>
      </c>
      <c r="D1044" t="s">
        <v>25</v>
      </c>
      <c r="E1044" t="s">
        <v>184</v>
      </c>
    </row>
    <row r="1045" spans="1:5">
      <c r="A1045" s="3">
        <v>46200</v>
      </c>
      <c r="B1045" t="s">
        <v>29</v>
      </c>
      <c r="C1045" t="s">
        <v>30</v>
      </c>
      <c r="D1045" t="s">
        <v>31</v>
      </c>
      <c r="E1045" t="s">
        <v>184</v>
      </c>
    </row>
    <row r="1046" spans="1:5">
      <c r="A1046" s="3">
        <v>46200</v>
      </c>
      <c r="B1046" t="s">
        <v>35</v>
      </c>
      <c r="C1046" t="s">
        <v>36</v>
      </c>
      <c r="D1046" t="s">
        <v>37</v>
      </c>
      <c r="E1046" t="s">
        <v>184</v>
      </c>
    </row>
    <row r="1047" spans="1:5">
      <c r="A1047" s="3">
        <v>46200</v>
      </c>
      <c r="B1047" t="s">
        <v>40</v>
      </c>
      <c r="C1047" t="s">
        <v>41</v>
      </c>
      <c r="D1047" t="s">
        <v>13</v>
      </c>
      <c r="E1047" t="s">
        <v>184</v>
      </c>
    </row>
    <row r="1048" spans="1:5">
      <c r="A1048" s="3">
        <v>46200</v>
      </c>
      <c r="B1048" t="s">
        <v>44</v>
      </c>
      <c r="C1048" t="s">
        <v>45</v>
      </c>
      <c r="D1048" t="s">
        <v>25</v>
      </c>
      <c r="E1048" t="s">
        <v>184</v>
      </c>
    </row>
    <row r="1049" spans="1:5">
      <c r="A1049" s="3">
        <v>46200</v>
      </c>
      <c r="B1049" t="s">
        <v>49</v>
      </c>
      <c r="C1049" t="s">
        <v>50</v>
      </c>
      <c r="D1049" t="s">
        <v>31</v>
      </c>
      <c r="E1049" t="s">
        <v>184</v>
      </c>
    </row>
    <row r="1050" spans="1:5">
      <c r="A1050" s="3">
        <v>46200</v>
      </c>
      <c r="B1050" t="s">
        <v>54</v>
      </c>
      <c r="C1050" t="s">
        <v>55</v>
      </c>
      <c r="D1050" t="s">
        <v>20</v>
      </c>
      <c r="E1050" t="s">
        <v>185</v>
      </c>
    </row>
    <row r="1051" spans="1:5">
      <c r="A1051" s="3">
        <v>46200</v>
      </c>
      <c r="B1051" t="s">
        <v>58</v>
      </c>
      <c r="C1051" t="s">
        <v>59</v>
      </c>
      <c r="D1051" t="s">
        <v>37</v>
      </c>
      <c r="E1051" t="s">
        <v>184</v>
      </c>
    </row>
    <row r="1052" spans="1:5">
      <c r="A1052" s="3">
        <v>46200</v>
      </c>
      <c r="B1052" t="s">
        <v>63</v>
      </c>
      <c r="C1052" t="s">
        <v>64</v>
      </c>
      <c r="D1052" t="s">
        <v>13</v>
      </c>
      <c r="E1052" t="s">
        <v>185</v>
      </c>
    </row>
    <row r="1053" spans="1:5">
      <c r="A1053" s="3">
        <v>46200</v>
      </c>
      <c r="B1053" t="s">
        <v>67</v>
      </c>
      <c r="C1053" t="s">
        <v>68</v>
      </c>
      <c r="D1053" t="s">
        <v>25</v>
      </c>
      <c r="E1053" t="s">
        <v>186</v>
      </c>
    </row>
    <row r="1054" spans="1:5">
      <c r="A1054" s="3">
        <v>46200</v>
      </c>
      <c r="B1054" t="s">
        <v>71</v>
      </c>
      <c r="C1054" t="s">
        <v>72</v>
      </c>
      <c r="D1054" t="s">
        <v>31</v>
      </c>
      <c r="E1054" t="s">
        <v>184</v>
      </c>
    </row>
    <row r="1055" spans="1:5">
      <c r="A1055" s="3">
        <v>46200</v>
      </c>
      <c r="B1055" t="s">
        <v>75</v>
      </c>
      <c r="C1055" t="s">
        <v>76</v>
      </c>
      <c r="D1055" t="s">
        <v>20</v>
      </c>
      <c r="E1055" t="s">
        <v>184</v>
      </c>
    </row>
    <row r="1056" spans="1:5">
      <c r="A1056" s="3">
        <v>46200</v>
      </c>
      <c r="B1056" t="s">
        <v>79</v>
      </c>
      <c r="C1056" t="s">
        <v>80</v>
      </c>
      <c r="D1056" t="s">
        <v>37</v>
      </c>
      <c r="E1056" t="s">
        <v>184</v>
      </c>
    </row>
    <row r="1057" spans="1:5">
      <c r="A1057" s="3">
        <v>46200</v>
      </c>
      <c r="B1057" t="s">
        <v>82</v>
      </c>
      <c r="C1057" t="s">
        <v>83</v>
      </c>
      <c r="D1057" t="s">
        <v>13</v>
      </c>
      <c r="E1057" t="s">
        <v>185</v>
      </c>
    </row>
    <row r="1058" spans="1:5">
      <c r="A1058" s="3">
        <v>46200</v>
      </c>
      <c r="B1058" t="s">
        <v>87</v>
      </c>
      <c r="C1058" t="s">
        <v>88</v>
      </c>
      <c r="D1058" t="s">
        <v>25</v>
      </c>
      <c r="E1058" t="s">
        <v>184</v>
      </c>
    </row>
    <row r="1059" spans="1:5">
      <c r="A1059" s="3">
        <v>46200</v>
      </c>
      <c r="B1059" t="s">
        <v>91</v>
      </c>
      <c r="C1059" t="s">
        <v>92</v>
      </c>
      <c r="D1059" t="s">
        <v>31</v>
      </c>
      <c r="E1059" t="s">
        <v>184</v>
      </c>
    </row>
    <row r="1060" spans="1:5">
      <c r="A1060" s="3">
        <v>46200</v>
      </c>
      <c r="B1060" t="s">
        <v>95</v>
      </c>
      <c r="C1060" t="s">
        <v>96</v>
      </c>
      <c r="D1060" t="s">
        <v>20</v>
      </c>
      <c r="E1060" t="s">
        <v>184</v>
      </c>
    </row>
    <row r="1061" spans="1:5">
      <c r="A1061" s="3">
        <v>46200</v>
      </c>
      <c r="B1061" t="s">
        <v>100</v>
      </c>
      <c r="C1061" t="s">
        <v>101</v>
      </c>
      <c r="D1061" t="s">
        <v>37</v>
      </c>
      <c r="E1061" t="s">
        <v>185</v>
      </c>
    </row>
    <row r="1062" spans="1:5">
      <c r="A1062" s="3">
        <v>46200</v>
      </c>
      <c r="B1062" t="s">
        <v>104</v>
      </c>
      <c r="C1062" t="s">
        <v>105</v>
      </c>
      <c r="D1062" t="s">
        <v>13</v>
      </c>
      <c r="E1062" t="s">
        <v>184</v>
      </c>
    </row>
    <row r="1063" spans="1:5">
      <c r="A1063" s="3">
        <v>46200</v>
      </c>
      <c r="B1063" t="s">
        <v>109</v>
      </c>
      <c r="C1063" t="s">
        <v>110</v>
      </c>
      <c r="D1063" t="s">
        <v>25</v>
      </c>
      <c r="E1063" t="s">
        <v>184</v>
      </c>
    </row>
    <row r="1064" spans="1:5">
      <c r="A1064" s="3">
        <v>46200</v>
      </c>
      <c r="B1064" t="s">
        <v>114</v>
      </c>
      <c r="C1064" t="s">
        <v>115</v>
      </c>
      <c r="D1064" t="s">
        <v>31</v>
      </c>
      <c r="E1064" t="s">
        <v>184</v>
      </c>
    </row>
    <row r="1065" spans="1:5">
      <c r="A1065" s="3">
        <v>46200</v>
      </c>
      <c r="B1065" t="s">
        <v>117</v>
      </c>
      <c r="C1065" t="s">
        <v>118</v>
      </c>
      <c r="D1065" t="s">
        <v>20</v>
      </c>
      <c r="E1065" t="s">
        <v>184</v>
      </c>
    </row>
    <row r="1066" spans="1:5">
      <c r="A1066" s="3">
        <v>46200</v>
      </c>
      <c r="B1066" t="s">
        <v>121</v>
      </c>
      <c r="C1066" t="s">
        <v>122</v>
      </c>
      <c r="D1066" t="s">
        <v>37</v>
      </c>
      <c r="E1066" t="s">
        <v>184</v>
      </c>
    </row>
    <row r="1067" spans="1:5">
      <c r="A1067" s="3">
        <v>46200</v>
      </c>
      <c r="B1067" t="s">
        <v>125</v>
      </c>
      <c r="C1067" t="s">
        <v>126</v>
      </c>
      <c r="D1067" t="s">
        <v>13</v>
      </c>
      <c r="E1067" t="s">
        <v>184</v>
      </c>
    </row>
    <row r="1068" spans="1:5">
      <c r="A1068" s="3">
        <v>46200</v>
      </c>
      <c r="B1068" t="s">
        <v>128</v>
      </c>
      <c r="C1068" t="s">
        <v>129</v>
      </c>
      <c r="D1068" t="s">
        <v>25</v>
      </c>
      <c r="E1068" t="s">
        <v>184</v>
      </c>
    </row>
    <row r="1069" spans="1:5">
      <c r="A1069" s="3">
        <v>46200</v>
      </c>
      <c r="B1069" t="s">
        <v>131</v>
      </c>
      <c r="C1069" t="s">
        <v>132</v>
      </c>
      <c r="D1069" t="s">
        <v>31</v>
      </c>
      <c r="E1069" t="s">
        <v>186</v>
      </c>
    </row>
    <row r="1070" spans="1:5">
      <c r="A1070" s="3">
        <v>46200</v>
      </c>
      <c r="B1070" t="s">
        <v>135</v>
      </c>
      <c r="C1070" t="s">
        <v>136</v>
      </c>
      <c r="D1070" t="s">
        <v>20</v>
      </c>
      <c r="E1070" t="s">
        <v>184</v>
      </c>
    </row>
    <row r="1071" spans="1:5">
      <c r="A1071" s="3">
        <v>46200</v>
      </c>
      <c r="B1071" t="s">
        <v>138</v>
      </c>
      <c r="C1071" t="s">
        <v>139</v>
      </c>
      <c r="D1071" t="s">
        <v>37</v>
      </c>
      <c r="E1071" t="s">
        <v>184</v>
      </c>
    </row>
    <row r="1072" spans="1:5">
      <c r="A1072" s="3">
        <v>46200</v>
      </c>
      <c r="B1072" t="s">
        <v>142</v>
      </c>
      <c r="C1072" t="s">
        <v>143</v>
      </c>
      <c r="D1072" t="s">
        <v>13</v>
      </c>
      <c r="E1072" t="s">
        <v>184</v>
      </c>
    </row>
    <row r="1073" spans="1:5">
      <c r="A1073" s="3">
        <v>46200</v>
      </c>
      <c r="B1073" t="s">
        <v>146</v>
      </c>
      <c r="C1073" t="s">
        <v>147</v>
      </c>
      <c r="D1073" t="s">
        <v>25</v>
      </c>
      <c r="E1073" t="s">
        <v>184</v>
      </c>
    </row>
    <row r="1074" spans="1:5">
      <c r="A1074" s="3">
        <v>46200</v>
      </c>
      <c r="B1074" t="s">
        <v>149</v>
      </c>
      <c r="C1074" t="s">
        <v>150</v>
      </c>
      <c r="D1074" t="s">
        <v>31</v>
      </c>
      <c r="E1074" t="s">
        <v>187</v>
      </c>
    </row>
    <row r="1075" spans="1:5">
      <c r="A1075" s="3">
        <v>46200</v>
      </c>
      <c r="B1075" t="s">
        <v>152</v>
      </c>
      <c r="C1075" t="s">
        <v>153</v>
      </c>
      <c r="D1075" t="s">
        <v>20</v>
      </c>
      <c r="E1075" t="s">
        <v>184</v>
      </c>
    </row>
    <row r="1076" spans="1:5">
      <c r="A1076" s="3">
        <v>46200</v>
      </c>
      <c r="B1076" t="s">
        <v>156</v>
      </c>
      <c r="C1076" t="s">
        <v>157</v>
      </c>
      <c r="D1076" t="s">
        <v>37</v>
      </c>
      <c r="E1076" t="s">
        <v>184</v>
      </c>
    </row>
    <row r="1077" spans="1:5">
      <c r="A1077" s="3">
        <v>46200</v>
      </c>
      <c r="B1077" t="s">
        <v>160</v>
      </c>
      <c r="C1077" t="s">
        <v>161</v>
      </c>
      <c r="D1077" t="s">
        <v>13</v>
      </c>
      <c r="E1077" t="s">
        <v>186</v>
      </c>
    </row>
    <row r="1078" spans="1:5">
      <c r="A1078" s="3">
        <v>46200</v>
      </c>
      <c r="B1078" t="s">
        <v>163</v>
      </c>
      <c r="C1078" t="s">
        <v>164</v>
      </c>
      <c r="D1078" t="s">
        <v>25</v>
      </c>
      <c r="E1078" t="s">
        <v>184</v>
      </c>
    </row>
    <row r="1079" spans="1:5">
      <c r="A1079" s="3">
        <v>46200</v>
      </c>
      <c r="B1079" t="s">
        <v>166</v>
      </c>
      <c r="C1079" t="s">
        <v>167</v>
      </c>
      <c r="D1079" t="s">
        <v>31</v>
      </c>
      <c r="E1079" t="s">
        <v>184</v>
      </c>
    </row>
    <row r="1080" spans="1:5">
      <c r="A1080" s="3">
        <v>46200</v>
      </c>
      <c r="B1080" t="s">
        <v>170</v>
      </c>
      <c r="C1080" t="s">
        <v>171</v>
      </c>
      <c r="D1080" t="s">
        <v>20</v>
      </c>
      <c r="E1080" t="s">
        <v>184</v>
      </c>
    </row>
    <row r="1081" spans="1:5">
      <c r="A1081" s="3">
        <v>46200</v>
      </c>
      <c r="B1081" t="s">
        <v>174</v>
      </c>
      <c r="C1081" t="s">
        <v>175</v>
      </c>
      <c r="D1081" t="s">
        <v>37</v>
      </c>
      <c r="E1081" t="s">
        <v>184</v>
      </c>
    </row>
    <row r="1082" spans="1:5">
      <c r="A1082" s="3">
        <v>46201</v>
      </c>
      <c r="B1082" t="s">
        <v>10</v>
      </c>
      <c r="C1082" t="s">
        <v>11</v>
      </c>
      <c r="D1082" t="s">
        <v>13</v>
      </c>
      <c r="E1082" t="s">
        <v>184</v>
      </c>
    </row>
    <row r="1083" spans="1:5">
      <c r="A1083" s="3">
        <v>46201</v>
      </c>
      <c r="B1083" t="s">
        <v>17</v>
      </c>
      <c r="C1083" t="s">
        <v>18</v>
      </c>
      <c r="D1083" t="s">
        <v>20</v>
      </c>
      <c r="E1083" t="s">
        <v>184</v>
      </c>
    </row>
    <row r="1084" spans="1:5">
      <c r="A1084" s="3">
        <v>46201</v>
      </c>
      <c r="B1084" t="s">
        <v>23</v>
      </c>
      <c r="C1084" t="s">
        <v>24</v>
      </c>
      <c r="D1084" t="s">
        <v>25</v>
      </c>
      <c r="E1084" t="s">
        <v>184</v>
      </c>
    </row>
    <row r="1085" spans="1:5">
      <c r="A1085" s="3">
        <v>46201</v>
      </c>
      <c r="B1085" t="s">
        <v>29</v>
      </c>
      <c r="C1085" t="s">
        <v>30</v>
      </c>
      <c r="D1085" t="s">
        <v>31</v>
      </c>
      <c r="E1085" t="s">
        <v>184</v>
      </c>
    </row>
    <row r="1086" spans="1:5">
      <c r="A1086" s="3">
        <v>46201</v>
      </c>
      <c r="B1086" t="s">
        <v>35</v>
      </c>
      <c r="C1086" t="s">
        <v>36</v>
      </c>
      <c r="D1086" t="s">
        <v>37</v>
      </c>
      <c r="E1086" t="s">
        <v>184</v>
      </c>
    </row>
    <row r="1087" spans="1:5">
      <c r="A1087" s="3">
        <v>46201</v>
      </c>
      <c r="B1087" t="s">
        <v>40</v>
      </c>
      <c r="C1087" t="s">
        <v>41</v>
      </c>
      <c r="D1087" t="s">
        <v>13</v>
      </c>
      <c r="E1087" t="s">
        <v>184</v>
      </c>
    </row>
    <row r="1088" spans="1:5">
      <c r="A1088" s="3">
        <v>46201</v>
      </c>
      <c r="B1088" t="s">
        <v>44</v>
      </c>
      <c r="C1088" t="s">
        <v>45</v>
      </c>
      <c r="D1088" t="s">
        <v>25</v>
      </c>
      <c r="E1088" t="s">
        <v>184</v>
      </c>
    </row>
    <row r="1089" spans="1:5">
      <c r="A1089" s="3">
        <v>46201</v>
      </c>
      <c r="B1089" t="s">
        <v>49</v>
      </c>
      <c r="C1089" t="s">
        <v>50</v>
      </c>
      <c r="D1089" t="s">
        <v>31</v>
      </c>
      <c r="E1089" t="s">
        <v>184</v>
      </c>
    </row>
    <row r="1090" spans="1:5">
      <c r="A1090" s="3">
        <v>46201</v>
      </c>
      <c r="B1090" t="s">
        <v>54</v>
      </c>
      <c r="C1090" t="s">
        <v>55</v>
      </c>
      <c r="D1090" t="s">
        <v>20</v>
      </c>
      <c r="E1090" t="s">
        <v>184</v>
      </c>
    </row>
    <row r="1091" spans="1:5">
      <c r="A1091" s="3">
        <v>46201</v>
      </c>
      <c r="B1091" t="s">
        <v>58</v>
      </c>
      <c r="C1091" t="s">
        <v>59</v>
      </c>
      <c r="D1091" t="s">
        <v>37</v>
      </c>
      <c r="E1091" t="s">
        <v>185</v>
      </c>
    </row>
    <row r="1092" spans="1:5">
      <c r="A1092" s="3">
        <v>46201</v>
      </c>
      <c r="B1092" t="s">
        <v>63</v>
      </c>
      <c r="C1092" t="s">
        <v>64</v>
      </c>
      <c r="D1092" t="s">
        <v>13</v>
      </c>
      <c r="E1092" t="s">
        <v>184</v>
      </c>
    </row>
    <row r="1093" spans="1:5">
      <c r="A1093" s="3">
        <v>46201</v>
      </c>
      <c r="B1093" t="s">
        <v>67</v>
      </c>
      <c r="C1093" t="s">
        <v>68</v>
      </c>
      <c r="D1093" t="s">
        <v>25</v>
      </c>
      <c r="E1093" t="s">
        <v>184</v>
      </c>
    </row>
    <row r="1094" spans="1:5">
      <c r="A1094" s="3">
        <v>46201</v>
      </c>
      <c r="B1094" t="s">
        <v>71</v>
      </c>
      <c r="C1094" t="s">
        <v>72</v>
      </c>
      <c r="D1094" t="s">
        <v>31</v>
      </c>
      <c r="E1094" t="s">
        <v>184</v>
      </c>
    </row>
    <row r="1095" spans="1:5">
      <c r="A1095" s="3">
        <v>46201</v>
      </c>
      <c r="B1095" t="s">
        <v>75</v>
      </c>
      <c r="C1095" t="s">
        <v>76</v>
      </c>
      <c r="D1095" t="s">
        <v>20</v>
      </c>
      <c r="E1095" t="s">
        <v>184</v>
      </c>
    </row>
    <row r="1096" spans="1:5">
      <c r="A1096" s="3">
        <v>46201</v>
      </c>
      <c r="B1096" t="s">
        <v>79</v>
      </c>
      <c r="C1096" t="s">
        <v>80</v>
      </c>
      <c r="D1096" t="s">
        <v>37</v>
      </c>
      <c r="E1096" t="s">
        <v>184</v>
      </c>
    </row>
    <row r="1097" spans="1:5">
      <c r="A1097" s="3">
        <v>46201</v>
      </c>
      <c r="B1097" t="s">
        <v>82</v>
      </c>
      <c r="C1097" t="s">
        <v>83</v>
      </c>
      <c r="D1097" t="s">
        <v>13</v>
      </c>
      <c r="E1097" t="s">
        <v>184</v>
      </c>
    </row>
    <row r="1098" spans="1:5">
      <c r="A1098" s="3">
        <v>46201</v>
      </c>
      <c r="B1098" t="s">
        <v>87</v>
      </c>
      <c r="C1098" t="s">
        <v>88</v>
      </c>
      <c r="D1098" t="s">
        <v>25</v>
      </c>
      <c r="E1098" t="s">
        <v>184</v>
      </c>
    </row>
    <row r="1099" spans="1:5">
      <c r="A1099" s="3">
        <v>46201</v>
      </c>
      <c r="B1099" t="s">
        <v>91</v>
      </c>
      <c r="C1099" t="s">
        <v>92</v>
      </c>
      <c r="D1099" t="s">
        <v>31</v>
      </c>
      <c r="E1099" t="s">
        <v>184</v>
      </c>
    </row>
    <row r="1100" spans="1:5">
      <c r="A1100" s="3">
        <v>46201</v>
      </c>
      <c r="B1100" t="s">
        <v>95</v>
      </c>
      <c r="C1100" t="s">
        <v>96</v>
      </c>
      <c r="D1100" t="s">
        <v>20</v>
      </c>
      <c r="E1100" t="s">
        <v>185</v>
      </c>
    </row>
    <row r="1101" spans="1:5">
      <c r="A1101" s="3">
        <v>46201</v>
      </c>
      <c r="B1101" t="s">
        <v>100</v>
      </c>
      <c r="C1101" t="s">
        <v>101</v>
      </c>
      <c r="D1101" t="s">
        <v>37</v>
      </c>
      <c r="E1101" t="s">
        <v>184</v>
      </c>
    </row>
    <row r="1102" spans="1:5">
      <c r="A1102" s="3">
        <v>46201</v>
      </c>
      <c r="B1102" t="s">
        <v>104</v>
      </c>
      <c r="C1102" t="s">
        <v>105</v>
      </c>
      <c r="D1102" t="s">
        <v>13</v>
      </c>
      <c r="E1102" t="s">
        <v>184</v>
      </c>
    </row>
    <row r="1103" spans="1:5">
      <c r="A1103" s="3">
        <v>46201</v>
      </c>
      <c r="B1103" t="s">
        <v>109</v>
      </c>
      <c r="C1103" t="s">
        <v>110</v>
      </c>
      <c r="D1103" t="s">
        <v>25</v>
      </c>
      <c r="E1103" t="s">
        <v>184</v>
      </c>
    </row>
    <row r="1104" spans="1:5">
      <c r="A1104" s="3">
        <v>46201</v>
      </c>
      <c r="B1104" t="s">
        <v>114</v>
      </c>
      <c r="C1104" t="s">
        <v>115</v>
      </c>
      <c r="D1104" t="s">
        <v>31</v>
      </c>
      <c r="E1104" t="s">
        <v>184</v>
      </c>
    </row>
    <row r="1105" spans="1:5">
      <c r="A1105" s="3">
        <v>46201</v>
      </c>
      <c r="B1105" t="s">
        <v>117</v>
      </c>
      <c r="C1105" t="s">
        <v>118</v>
      </c>
      <c r="D1105" t="s">
        <v>20</v>
      </c>
      <c r="E1105" t="s">
        <v>184</v>
      </c>
    </row>
    <row r="1106" spans="1:5">
      <c r="A1106" s="3">
        <v>46201</v>
      </c>
      <c r="B1106" t="s">
        <v>121</v>
      </c>
      <c r="C1106" t="s">
        <v>122</v>
      </c>
      <c r="D1106" t="s">
        <v>37</v>
      </c>
      <c r="E1106" t="s">
        <v>184</v>
      </c>
    </row>
    <row r="1107" spans="1:5">
      <c r="A1107" s="3">
        <v>46201</v>
      </c>
      <c r="B1107" t="s">
        <v>125</v>
      </c>
      <c r="C1107" t="s">
        <v>126</v>
      </c>
      <c r="D1107" t="s">
        <v>13</v>
      </c>
      <c r="E1107" t="s">
        <v>184</v>
      </c>
    </row>
    <row r="1108" spans="1:5">
      <c r="A1108" s="3">
        <v>46201</v>
      </c>
      <c r="B1108" t="s">
        <v>128</v>
      </c>
      <c r="C1108" t="s">
        <v>129</v>
      </c>
      <c r="D1108" t="s">
        <v>25</v>
      </c>
      <c r="E1108" t="s">
        <v>184</v>
      </c>
    </row>
    <row r="1109" spans="1:5">
      <c r="A1109" s="3">
        <v>46201</v>
      </c>
      <c r="B1109" t="s">
        <v>131</v>
      </c>
      <c r="C1109" t="s">
        <v>132</v>
      </c>
      <c r="D1109" t="s">
        <v>31</v>
      </c>
      <c r="E1109" t="s">
        <v>184</v>
      </c>
    </row>
    <row r="1110" spans="1:5">
      <c r="A1110" s="3">
        <v>46201</v>
      </c>
      <c r="B1110" t="s">
        <v>135</v>
      </c>
      <c r="C1110" t="s">
        <v>136</v>
      </c>
      <c r="D1110" t="s">
        <v>20</v>
      </c>
      <c r="E1110" t="s">
        <v>184</v>
      </c>
    </row>
    <row r="1111" spans="1:5">
      <c r="A1111" s="3">
        <v>46201</v>
      </c>
      <c r="B1111" t="s">
        <v>138</v>
      </c>
      <c r="C1111" t="s">
        <v>139</v>
      </c>
      <c r="D1111" t="s">
        <v>37</v>
      </c>
      <c r="E1111" t="s">
        <v>184</v>
      </c>
    </row>
    <row r="1112" spans="1:5">
      <c r="A1112" s="3">
        <v>46201</v>
      </c>
      <c r="B1112" t="s">
        <v>142</v>
      </c>
      <c r="C1112" t="s">
        <v>143</v>
      </c>
      <c r="D1112" t="s">
        <v>13</v>
      </c>
      <c r="E1112" t="s">
        <v>184</v>
      </c>
    </row>
    <row r="1113" spans="1:5">
      <c r="A1113" s="3">
        <v>46201</v>
      </c>
      <c r="B1113" t="s">
        <v>146</v>
      </c>
      <c r="C1113" t="s">
        <v>147</v>
      </c>
      <c r="D1113" t="s">
        <v>25</v>
      </c>
      <c r="E1113" t="s">
        <v>184</v>
      </c>
    </row>
    <row r="1114" spans="1:5">
      <c r="A1114" s="3">
        <v>46201</v>
      </c>
      <c r="B1114" t="s">
        <v>149</v>
      </c>
      <c r="C1114" t="s">
        <v>150</v>
      </c>
      <c r="D1114" t="s">
        <v>31</v>
      </c>
      <c r="E1114" t="s">
        <v>184</v>
      </c>
    </row>
    <row r="1115" spans="1:5">
      <c r="A1115" s="3">
        <v>46201</v>
      </c>
      <c r="B1115" t="s">
        <v>152</v>
      </c>
      <c r="C1115" t="s">
        <v>153</v>
      </c>
      <c r="D1115" t="s">
        <v>20</v>
      </c>
      <c r="E1115" t="s">
        <v>184</v>
      </c>
    </row>
    <row r="1116" spans="1:5">
      <c r="A1116" s="3">
        <v>46201</v>
      </c>
      <c r="B1116" t="s">
        <v>156</v>
      </c>
      <c r="C1116" t="s">
        <v>157</v>
      </c>
      <c r="D1116" t="s">
        <v>37</v>
      </c>
      <c r="E1116" t="s">
        <v>184</v>
      </c>
    </row>
    <row r="1117" spans="1:5">
      <c r="A1117" s="3">
        <v>46201</v>
      </c>
      <c r="B1117" t="s">
        <v>160</v>
      </c>
      <c r="C1117" t="s">
        <v>161</v>
      </c>
      <c r="D1117" t="s">
        <v>13</v>
      </c>
      <c r="E1117" t="s">
        <v>184</v>
      </c>
    </row>
    <row r="1118" spans="1:5">
      <c r="A1118" s="3">
        <v>46201</v>
      </c>
      <c r="B1118" t="s">
        <v>163</v>
      </c>
      <c r="C1118" t="s">
        <v>164</v>
      </c>
      <c r="D1118" t="s">
        <v>25</v>
      </c>
      <c r="E1118" t="s">
        <v>184</v>
      </c>
    </row>
    <row r="1119" spans="1:5">
      <c r="A1119" s="3">
        <v>46201</v>
      </c>
      <c r="B1119" t="s">
        <v>166</v>
      </c>
      <c r="C1119" t="s">
        <v>167</v>
      </c>
      <c r="D1119" t="s">
        <v>31</v>
      </c>
      <c r="E1119" t="s">
        <v>186</v>
      </c>
    </row>
    <row r="1120" spans="1:5">
      <c r="A1120" s="3">
        <v>46201</v>
      </c>
      <c r="B1120" t="s">
        <v>170</v>
      </c>
      <c r="C1120" t="s">
        <v>171</v>
      </c>
      <c r="D1120" t="s">
        <v>20</v>
      </c>
      <c r="E1120" t="s">
        <v>186</v>
      </c>
    </row>
    <row r="1121" spans="1:5">
      <c r="A1121" s="3">
        <v>46201</v>
      </c>
      <c r="B1121" t="s">
        <v>174</v>
      </c>
      <c r="C1121" t="s">
        <v>175</v>
      </c>
      <c r="D1121" t="s">
        <v>37</v>
      </c>
      <c r="E1121" t="s">
        <v>184</v>
      </c>
    </row>
    <row r="1122" spans="1:5">
      <c r="A1122" s="3">
        <v>46202</v>
      </c>
      <c r="B1122" t="s">
        <v>10</v>
      </c>
      <c r="C1122" t="s">
        <v>11</v>
      </c>
      <c r="D1122" t="s">
        <v>13</v>
      </c>
      <c r="E1122" t="s">
        <v>184</v>
      </c>
    </row>
    <row r="1123" spans="1:5">
      <c r="A1123" s="3">
        <v>46202</v>
      </c>
      <c r="B1123" t="s">
        <v>17</v>
      </c>
      <c r="C1123" t="s">
        <v>18</v>
      </c>
      <c r="D1123" t="s">
        <v>20</v>
      </c>
      <c r="E1123" t="s">
        <v>184</v>
      </c>
    </row>
    <row r="1124" spans="1:5">
      <c r="A1124" s="3">
        <v>46202</v>
      </c>
      <c r="B1124" t="s">
        <v>23</v>
      </c>
      <c r="C1124" t="s">
        <v>24</v>
      </c>
      <c r="D1124" t="s">
        <v>25</v>
      </c>
      <c r="E1124" t="s">
        <v>184</v>
      </c>
    </row>
    <row r="1125" spans="1:5">
      <c r="A1125" s="3">
        <v>46202</v>
      </c>
      <c r="B1125" t="s">
        <v>29</v>
      </c>
      <c r="C1125" t="s">
        <v>30</v>
      </c>
      <c r="D1125" t="s">
        <v>31</v>
      </c>
      <c r="E1125" t="s">
        <v>184</v>
      </c>
    </row>
    <row r="1126" spans="1:5">
      <c r="A1126" s="3">
        <v>46202</v>
      </c>
      <c r="B1126" t="s">
        <v>35</v>
      </c>
      <c r="C1126" t="s">
        <v>36</v>
      </c>
      <c r="D1126" t="s">
        <v>37</v>
      </c>
      <c r="E1126" t="s">
        <v>184</v>
      </c>
    </row>
    <row r="1127" spans="1:5">
      <c r="A1127" s="3">
        <v>46202</v>
      </c>
      <c r="B1127" t="s">
        <v>40</v>
      </c>
      <c r="C1127" t="s">
        <v>41</v>
      </c>
      <c r="D1127" t="s">
        <v>13</v>
      </c>
      <c r="E1127" t="s">
        <v>184</v>
      </c>
    </row>
    <row r="1128" spans="1:5">
      <c r="A1128" s="3">
        <v>46202</v>
      </c>
      <c r="B1128" t="s">
        <v>44</v>
      </c>
      <c r="C1128" t="s">
        <v>45</v>
      </c>
      <c r="D1128" t="s">
        <v>25</v>
      </c>
      <c r="E1128" t="s">
        <v>184</v>
      </c>
    </row>
    <row r="1129" spans="1:5">
      <c r="A1129" s="3">
        <v>46202</v>
      </c>
      <c r="B1129" t="s">
        <v>49</v>
      </c>
      <c r="C1129" t="s">
        <v>50</v>
      </c>
      <c r="D1129" t="s">
        <v>31</v>
      </c>
      <c r="E1129" t="s">
        <v>184</v>
      </c>
    </row>
    <row r="1130" spans="1:5">
      <c r="A1130" s="3">
        <v>46202</v>
      </c>
      <c r="B1130" t="s">
        <v>54</v>
      </c>
      <c r="C1130" t="s">
        <v>55</v>
      </c>
      <c r="D1130" t="s">
        <v>20</v>
      </c>
      <c r="E1130" t="s">
        <v>184</v>
      </c>
    </row>
    <row r="1131" spans="1:5">
      <c r="A1131" s="3">
        <v>46202</v>
      </c>
      <c r="B1131" t="s">
        <v>58</v>
      </c>
      <c r="C1131" t="s">
        <v>59</v>
      </c>
      <c r="D1131" t="s">
        <v>37</v>
      </c>
      <c r="E1131" t="s">
        <v>184</v>
      </c>
    </row>
    <row r="1132" spans="1:5">
      <c r="A1132" s="3">
        <v>46202</v>
      </c>
      <c r="B1132" t="s">
        <v>63</v>
      </c>
      <c r="C1132" t="s">
        <v>64</v>
      </c>
      <c r="D1132" t="s">
        <v>13</v>
      </c>
      <c r="E1132" t="s">
        <v>187</v>
      </c>
    </row>
    <row r="1133" spans="1:5">
      <c r="A1133" s="3">
        <v>46202</v>
      </c>
      <c r="B1133" t="s">
        <v>67</v>
      </c>
      <c r="C1133" t="s">
        <v>68</v>
      </c>
      <c r="D1133" t="s">
        <v>25</v>
      </c>
      <c r="E1133" t="s">
        <v>184</v>
      </c>
    </row>
    <row r="1134" spans="1:5">
      <c r="A1134" s="3">
        <v>46202</v>
      </c>
      <c r="B1134" t="s">
        <v>71</v>
      </c>
      <c r="C1134" t="s">
        <v>72</v>
      </c>
      <c r="D1134" t="s">
        <v>31</v>
      </c>
      <c r="E1134" t="s">
        <v>184</v>
      </c>
    </row>
    <row r="1135" spans="1:5">
      <c r="A1135" s="3">
        <v>46202</v>
      </c>
      <c r="B1135" t="s">
        <v>75</v>
      </c>
      <c r="C1135" t="s">
        <v>76</v>
      </c>
      <c r="D1135" t="s">
        <v>20</v>
      </c>
      <c r="E1135" t="s">
        <v>184</v>
      </c>
    </row>
    <row r="1136" spans="1:5">
      <c r="A1136" s="3">
        <v>46202</v>
      </c>
      <c r="B1136" t="s">
        <v>79</v>
      </c>
      <c r="C1136" t="s">
        <v>80</v>
      </c>
      <c r="D1136" t="s">
        <v>37</v>
      </c>
      <c r="E1136" t="s">
        <v>184</v>
      </c>
    </row>
    <row r="1137" spans="1:5">
      <c r="A1137" s="3">
        <v>46202</v>
      </c>
      <c r="B1137" t="s">
        <v>82</v>
      </c>
      <c r="C1137" t="s">
        <v>83</v>
      </c>
      <c r="D1137" t="s">
        <v>13</v>
      </c>
      <c r="E1137" t="s">
        <v>186</v>
      </c>
    </row>
    <row r="1138" spans="1:5">
      <c r="A1138" s="3">
        <v>46202</v>
      </c>
      <c r="B1138" t="s">
        <v>87</v>
      </c>
      <c r="C1138" t="s">
        <v>88</v>
      </c>
      <c r="D1138" t="s">
        <v>25</v>
      </c>
      <c r="E1138" t="s">
        <v>184</v>
      </c>
    </row>
    <row r="1139" spans="1:5">
      <c r="A1139" s="3">
        <v>46202</v>
      </c>
      <c r="B1139" t="s">
        <v>91</v>
      </c>
      <c r="C1139" t="s">
        <v>92</v>
      </c>
      <c r="D1139" t="s">
        <v>31</v>
      </c>
      <c r="E1139" t="s">
        <v>184</v>
      </c>
    </row>
    <row r="1140" spans="1:5">
      <c r="A1140" s="3">
        <v>46202</v>
      </c>
      <c r="B1140" t="s">
        <v>95</v>
      </c>
      <c r="C1140" t="s">
        <v>96</v>
      </c>
      <c r="D1140" t="s">
        <v>20</v>
      </c>
      <c r="E1140" t="s">
        <v>184</v>
      </c>
    </row>
    <row r="1141" spans="1:5">
      <c r="A1141" s="3">
        <v>46202</v>
      </c>
      <c r="B1141" t="s">
        <v>100</v>
      </c>
      <c r="C1141" t="s">
        <v>101</v>
      </c>
      <c r="D1141" t="s">
        <v>37</v>
      </c>
      <c r="E1141" t="s">
        <v>184</v>
      </c>
    </row>
    <row r="1142" spans="1:5">
      <c r="A1142" s="3">
        <v>46202</v>
      </c>
      <c r="B1142" t="s">
        <v>104</v>
      </c>
      <c r="C1142" t="s">
        <v>105</v>
      </c>
      <c r="D1142" t="s">
        <v>13</v>
      </c>
      <c r="E1142" t="s">
        <v>184</v>
      </c>
    </row>
    <row r="1143" spans="1:5">
      <c r="A1143" s="3">
        <v>46202</v>
      </c>
      <c r="B1143" t="s">
        <v>109</v>
      </c>
      <c r="C1143" t="s">
        <v>110</v>
      </c>
      <c r="D1143" t="s">
        <v>25</v>
      </c>
      <c r="E1143" t="s">
        <v>184</v>
      </c>
    </row>
    <row r="1144" spans="1:5">
      <c r="A1144" s="3">
        <v>46202</v>
      </c>
      <c r="B1144" t="s">
        <v>114</v>
      </c>
      <c r="C1144" t="s">
        <v>115</v>
      </c>
      <c r="D1144" t="s">
        <v>31</v>
      </c>
      <c r="E1144" t="s">
        <v>184</v>
      </c>
    </row>
    <row r="1145" spans="1:5">
      <c r="A1145" s="3">
        <v>46202</v>
      </c>
      <c r="B1145" t="s">
        <v>117</v>
      </c>
      <c r="C1145" t="s">
        <v>118</v>
      </c>
      <c r="D1145" t="s">
        <v>20</v>
      </c>
      <c r="E1145" t="s">
        <v>184</v>
      </c>
    </row>
    <row r="1146" spans="1:5">
      <c r="A1146" s="3">
        <v>46202</v>
      </c>
      <c r="B1146" t="s">
        <v>121</v>
      </c>
      <c r="C1146" t="s">
        <v>122</v>
      </c>
      <c r="D1146" t="s">
        <v>37</v>
      </c>
      <c r="E1146" t="s">
        <v>184</v>
      </c>
    </row>
    <row r="1147" spans="1:5">
      <c r="A1147" s="3">
        <v>46202</v>
      </c>
      <c r="B1147" t="s">
        <v>125</v>
      </c>
      <c r="C1147" t="s">
        <v>126</v>
      </c>
      <c r="D1147" t="s">
        <v>13</v>
      </c>
      <c r="E1147" t="s">
        <v>184</v>
      </c>
    </row>
    <row r="1148" spans="1:5">
      <c r="A1148" s="3">
        <v>46202</v>
      </c>
      <c r="B1148" t="s">
        <v>128</v>
      </c>
      <c r="C1148" t="s">
        <v>129</v>
      </c>
      <c r="D1148" t="s">
        <v>25</v>
      </c>
      <c r="E1148" t="s">
        <v>184</v>
      </c>
    </row>
    <row r="1149" spans="1:5">
      <c r="A1149" s="3">
        <v>46202</v>
      </c>
      <c r="B1149" t="s">
        <v>131</v>
      </c>
      <c r="C1149" t="s">
        <v>132</v>
      </c>
      <c r="D1149" t="s">
        <v>31</v>
      </c>
      <c r="E1149" t="s">
        <v>184</v>
      </c>
    </row>
    <row r="1150" spans="1:5">
      <c r="A1150" s="3">
        <v>46202</v>
      </c>
      <c r="B1150" t="s">
        <v>135</v>
      </c>
      <c r="C1150" t="s">
        <v>136</v>
      </c>
      <c r="D1150" t="s">
        <v>20</v>
      </c>
      <c r="E1150" t="s">
        <v>184</v>
      </c>
    </row>
    <row r="1151" spans="1:5">
      <c r="A1151" s="3">
        <v>46202</v>
      </c>
      <c r="B1151" t="s">
        <v>138</v>
      </c>
      <c r="C1151" t="s">
        <v>139</v>
      </c>
      <c r="D1151" t="s">
        <v>37</v>
      </c>
      <c r="E1151" t="s">
        <v>184</v>
      </c>
    </row>
    <row r="1152" spans="1:5">
      <c r="A1152" s="3">
        <v>46202</v>
      </c>
      <c r="B1152" t="s">
        <v>142</v>
      </c>
      <c r="C1152" t="s">
        <v>143</v>
      </c>
      <c r="D1152" t="s">
        <v>13</v>
      </c>
      <c r="E1152" t="s">
        <v>184</v>
      </c>
    </row>
    <row r="1153" spans="1:5">
      <c r="A1153" s="3">
        <v>46202</v>
      </c>
      <c r="B1153" t="s">
        <v>146</v>
      </c>
      <c r="C1153" t="s">
        <v>147</v>
      </c>
      <c r="D1153" t="s">
        <v>25</v>
      </c>
      <c r="E1153" t="s">
        <v>184</v>
      </c>
    </row>
    <row r="1154" spans="1:5">
      <c r="A1154" s="3">
        <v>46202</v>
      </c>
      <c r="B1154" t="s">
        <v>149</v>
      </c>
      <c r="C1154" t="s">
        <v>150</v>
      </c>
      <c r="D1154" t="s">
        <v>31</v>
      </c>
      <c r="E1154" t="s">
        <v>184</v>
      </c>
    </row>
    <row r="1155" spans="1:5">
      <c r="A1155" s="3">
        <v>46202</v>
      </c>
      <c r="B1155" t="s">
        <v>152</v>
      </c>
      <c r="C1155" t="s">
        <v>153</v>
      </c>
      <c r="D1155" t="s">
        <v>20</v>
      </c>
      <c r="E1155" t="s">
        <v>184</v>
      </c>
    </row>
    <row r="1156" spans="1:5">
      <c r="A1156" s="3">
        <v>46202</v>
      </c>
      <c r="B1156" t="s">
        <v>156</v>
      </c>
      <c r="C1156" t="s">
        <v>157</v>
      </c>
      <c r="D1156" t="s">
        <v>37</v>
      </c>
      <c r="E1156" t="s">
        <v>184</v>
      </c>
    </row>
    <row r="1157" spans="1:5">
      <c r="A1157" s="3">
        <v>46202</v>
      </c>
      <c r="B1157" t="s">
        <v>160</v>
      </c>
      <c r="C1157" t="s">
        <v>161</v>
      </c>
      <c r="D1157" t="s">
        <v>13</v>
      </c>
      <c r="E1157" t="s">
        <v>184</v>
      </c>
    </row>
    <row r="1158" spans="1:5">
      <c r="A1158" s="3">
        <v>46202</v>
      </c>
      <c r="B1158" t="s">
        <v>163</v>
      </c>
      <c r="C1158" t="s">
        <v>164</v>
      </c>
      <c r="D1158" t="s">
        <v>25</v>
      </c>
      <c r="E1158" t="s">
        <v>184</v>
      </c>
    </row>
    <row r="1159" spans="1:5">
      <c r="A1159" s="3">
        <v>46202</v>
      </c>
      <c r="B1159" t="s">
        <v>166</v>
      </c>
      <c r="C1159" t="s">
        <v>167</v>
      </c>
      <c r="D1159" t="s">
        <v>31</v>
      </c>
      <c r="E1159" t="s">
        <v>184</v>
      </c>
    </row>
    <row r="1160" spans="1:5">
      <c r="A1160" s="3">
        <v>46202</v>
      </c>
      <c r="B1160" t="s">
        <v>170</v>
      </c>
      <c r="C1160" t="s">
        <v>171</v>
      </c>
      <c r="D1160" t="s">
        <v>20</v>
      </c>
      <c r="E1160" t="s">
        <v>186</v>
      </c>
    </row>
    <row r="1161" spans="1:5">
      <c r="A1161" s="3">
        <v>46202</v>
      </c>
      <c r="B1161" t="s">
        <v>174</v>
      </c>
      <c r="C1161" t="s">
        <v>175</v>
      </c>
      <c r="D1161" t="s">
        <v>37</v>
      </c>
      <c r="E1161" t="s">
        <v>184</v>
      </c>
    </row>
    <row r="1162" spans="1:5">
      <c r="A1162" s="3">
        <v>46203</v>
      </c>
      <c r="B1162" t="s">
        <v>10</v>
      </c>
      <c r="C1162" t="s">
        <v>11</v>
      </c>
      <c r="D1162" t="s">
        <v>13</v>
      </c>
      <c r="E1162" t="s">
        <v>184</v>
      </c>
    </row>
    <row r="1163" spans="1:5">
      <c r="A1163" s="3">
        <v>46203</v>
      </c>
      <c r="B1163" t="s">
        <v>17</v>
      </c>
      <c r="C1163" t="s">
        <v>18</v>
      </c>
      <c r="D1163" t="s">
        <v>20</v>
      </c>
      <c r="E1163" t="s">
        <v>186</v>
      </c>
    </row>
    <row r="1164" spans="1:5">
      <c r="A1164" s="3">
        <v>46203</v>
      </c>
      <c r="B1164" t="s">
        <v>23</v>
      </c>
      <c r="C1164" t="s">
        <v>24</v>
      </c>
      <c r="D1164" t="s">
        <v>25</v>
      </c>
      <c r="E1164" t="s">
        <v>184</v>
      </c>
    </row>
    <row r="1165" spans="1:5">
      <c r="A1165" s="3">
        <v>46203</v>
      </c>
      <c r="B1165" t="s">
        <v>29</v>
      </c>
      <c r="C1165" t="s">
        <v>30</v>
      </c>
      <c r="D1165" t="s">
        <v>31</v>
      </c>
      <c r="E1165" t="s">
        <v>184</v>
      </c>
    </row>
    <row r="1166" spans="1:5">
      <c r="A1166" s="3">
        <v>46203</v>
      </c>
      <c r="B1166" t="s">
        <v>35</v>
      </c>
      <c r="C1166" t="s">
        <v>36</v>
      </c>
      <c r="D1166" t="s">
        <v>37</v>
      </c>
      <c r="E1166" t="s">
        <v>184</v>
      </c>
    </row>
    <row r="1167" spans="1:5">
      <c r="A1167" s="3">
        <v>46203</v>
      </c>
      <c r="B1167" t="s">
        <v>40</v>
      </c>
      <c r="C1167" t="s">
        <v>41</v>
      </c>
      <c r="D1167" t="s">
        <v>13</v>
      </c>
      <c r="E1167" t="s">
        <v>187</v>
      </c>
    </row>
    <row r="1168" spans="1:5">
      <c r="A1168" s="3">
        <v>46203</v>
      </c>
      <c r="B1168" t="s">
        <v>44</v>
      </c>
      <c r="C1168" t="s">
        <v>45</v>
      </c>
      <c r="D1168" t="s">
        <v>25</v>
      </c>
      <c r="E1168" t="s">
        <v>184</v>
      </c>
    </row>
    <row r="1169" spans="1:5">
      <c r="A1169" s="3">
        <v>46203</v>
      </c>
      <c r="B1169" t="s">
        <v>49</v>
      </c>
      <c r="C1169" t="s">
        <v>50</v>
      </c>
      <c r="D1169" t="s">
        <v>31</v>
      </c>
      <c r="E1169" t="s">
        <v>184</v>
      </c>
    </row>
    <row r="1170" spans="1:5">
      <c r="A1170" s="3">
        <v>46203</v>
      </c>
      <c r="B1170" t="s">
        <v>54</v>
      </c>
      <c r="C1170" t="s">
        <v>55</v>
      </c>
      <c r="D1170" t="s">
        <v>20</v>
      </c>
      <c r="E1170" t="s">
        <v>184</v>
      </c>
    </row>
    <row r="1171" spans="1:5">
      <c r="A1171" s="3">
        <v>46203</v>
      </c>
      <c r="B1171" t="s">
        <v>58</v>
      </c>
      <c r="C1171" t="s">
        <v>59</v>
      </c>
      <c r="D1171" t="s">
        <v>37</v>
      </c>
      <c r="E1171" t="s">
        <v>184</v>
      </c>
    </row>
    <row r="1172" spans="1:5">
      <c r="A1172" s="3">
        <v>46203</v>
      </c>
      <c r="B1172" t="s">
        <v>63</v>
      </c>
      <c r="C1172" t="s">
        <v>64</v>
      </c>
      <c r="D1172" t="s">
        <v>13</v>
      </c>
      <c r="E1172" t="s">
        <v>184</v>
      </c>
    </row>
    <row r="1173" spans="1:5">
      <c r="A1173" s="3">
        <v>46203</v>
      </c>
      <c r="B1173" t="s">
        <v>67</v>
      </c>
      <c r="C1173" t="s">
        <v>68</v>
      </c>
      <c r="D1173" t="s">
        <v>25</v>
      </c>
      <c r="E1173" t="s">
        <v>184</v>
      </c>
    </row>
    <row r="1174" spans="1:5">
      <c r="A1174" s="3">
        <v>46203</v>
      </c>
      <c r="B1174" t="s">
        <v>71</v>
      </c>
      <c r="C1174" t="s">
        <v>72</v>
      </c>
      <c r="D1174" t="s">
        <v>31</v>
      </c>
      <c r="E1174" t="s">
        <v>185</v>
      </c>
    </row>
    <row r="1175" spans="1:5">
      <c r="A1175" s="3">
        <v>46203</v>
      </c>
      <c r="B1175" t="s">
        <v>75</v>
      </c>
      <c r="C1175" t="s">
        <v>76</v>
      </c>
      <c r="D1175" t="s">
        <v>20</v>
      </c>
      <c r="E1175" t="s">
        <v>185</v>
      </c>
    </row>
    <row r="1176" spans="1:5">
      <c r="A1176" s="3">
        <v>46203</v>
      </c>
      <c r="B1176" t="s">
        <v>79</v>
      </c>
      <c r="C1176" t="s">
        <v>80</v>
      </c>
      <c r="D1176" t="s">
        <v>37</v>
      </c>
      <c r="E1176" t="s">
        <v>184</v>
      </c>
    </row>
    <row r="1177" spans="1:5">
      <c r="A1177" s="3">
        <v>46203</v>
      </c>
      <c r="B1177" t="s">
        <v>82</v>
      </c>
      <c r="C1177" t="s">
        <v>83</v>
      </c>
      <c r="D1177" t="s">
        <v>13</v>
      </c>
      <c r="E1177" t="s">
        <v>184</v>
      </c>
    </row>
    <row r="1178" spans="1:5">
      <c r="A1178" s="3">
        <v>46203</v>
      </c>
      <c r="B1178" t="s">
        <v>87</v>
      </c>
      <c r="C1178" t="s">
        <v>88</v>
      </c>
      <c r="D1178" t="s">
        <v>25</v>
      </c>
      <c r="E1178" t="s">
        <v>185</v>
      </c>
    </row>
    <row r="1179" spans="1:5">
      <c r="A1179" s="3">
        <v>46203</v>
      </c>
      <c r="B1179" t="s">
        <v>91</v>
      </c>
      <c r="C1179" t="s">
        <v>92</v>
      </c>
      <c r="D1179" t="s">
        <v>31</v>
      </c>
      <c r="E1179" t="s">
        <v>184</v>
      </c>
    </row>
    <row r="1180" spans="1:5">
      <c r="A1180" s="3">
        <v>46203</v>
      </c>
      <c r="B1180" t="s">
        <v>95</v>
      </c>
      <c r="C1180" t="s">
        <v>96</v>
      </c>
      <c r="D1180" t="s">
        <v>20</v>
      </c>
      <c r="E1180" t="s">
        <v>186</v>
      </c>
    </row>
    <row r="1181" spans="1:5">
      <c r="A1181" s="3">
        <v>46203</v>
      </c>
      <c r="B1181" t="s">
        <v>100</v>
      </c>
      <c r="C1181" t="s">
        <v>101</v>
      </c>
      <c r="D1181" t="s">
        <v>37</v>
      </c>
      <c r="E1181" t="s">
        <v>184</v>
      </c>
    </row>
    <row r="1182" spans="1:5">
      <c r="A1182" s="3">
        <v>46203</v>
      </c>
      <c r="B1182" t="s">
        <v>104</v>
      </c>
      <c r="C1182" t="s">
        <v>105</v>
      </c>
      <c r="D1182" t="s">
        <v>13</v>
      </c>
      <c r="E1182" t="s">
        <v>184</v>
      </c>
    </row>
    <row r="1183" spans="1:5">
      <c r="A1183" s="3">
        <v>46203</v>
      </c>
      <c r="B1183" t="s">
        <v>109</v>
      </c>
      <c r="C1183" t="s">
        <v>110</v>
      </c>
      <c r="D1183" t="s">
        <v>25</v>
      </c>
      <c r="E1183" t="s">
        <v>184</v>
      </c>
    </row>
    <row r="1184" spans="1:5">
      <c r="A1184" s="3">
        <v>46203</v>
      </c>
      <c r="B1184" t="s">
        <v>114</v>
      </c>
      <c r="C1184" t="s">
        <v>115</v>
      </c>
      <c r="D1184" t="s">
        <v>31</v>
      </c>
      <c r="E1184" t="s">
        <v>184</v>
      </c>
    </row>
    <row r="1185" spans="1:5">
      <c r="A1185" s="3">
        <v>46203</v>
      </c>
      <c r="B1185" t="s">
        <v>117</v>
      </c>
      <c r="C1185" t="s">
        <v>118</v>
      </c>
      <c r="D1185" t="s">
        <v>20</v>
      </c>
      <c r="E1185" t="s">
        <v>184</v>
      </c>
    </row>
    <row r="1186" spans="1:5">
      <c r="A1186" s="3">
        <v>46203</v>
      </c>
      <c r="B1186" t="s">
        <v>121</v>
      </c>
      <c r="C1186" t="s">
        <v>122</v>
      </c>
      <c r="D1186" t="s">
        <v>37</v>
      </c>
      <c r="E1186" t="s">
        <v>184</v>
      </c>
    </row>
    <row r="1187" spans="1:5">
      <c r="A1187" s="3">
        <v>46203</v>
      </c>
      <c r="B1187" t="s">
        <v>125</v>
      </c>
      <c r="C1187" t="s">
        <v>126</v>
      </c>
      <c r="D1187" t="s">
        <v>13</v>
      </c>
      <c r="E1187" t="s">
        <v>184</v>
      </c>
    </row>
    <row r="1188" spans="1:5">
      <c r="A1188" s="3">
        <v>46203</v>
      </c>
      <c r="B1188" t="s">
        <v>128</v>
      </c>
      <c r="C1188" t="s">
        <v>129</v>
      </c>
      <c r="D1188" t="s">
        <v>25</v>
      </c>
      <c r="E1188" t="s">
        <v>184</v>
      </c>
    </row>
    <row r="1189" spans="1:5">
      <c r="A1189" s="3">
        <v>46203</v>
      </c>
      <c r="B1189" t="s">
        <v>131</v>
      </c>
      <c r="C1189" t="s">
        <v>132</v>
      </c>
      <c r="D1189" t="s">
        <v>31</v>
      </c>
      <c r="E1189" t="s">
        <v>184</v>
      </c>
    </row>
    <row r="1190" spans="1:5">
      <c r="A1190" s="3">
        <v>46203</v>
      </c>
      <c r="B1190" t="s">
        <v>135</v>
      </c>
      <c r="C1190" t="s">
        <v>136</v>
      </c>
      <c r="D1190" t="s">
        <v>20</v>
      </c>
      <c r="E1190" t="s">
        <v>184</v>
      </c>
    </row>
    <row r="1191" spans="1:5">
      <c r="A1191" s="3">
        <v>46203</v>
      </c>
      <c r="B1191" t="s">
        <v>138</v>
      </c>
      <c r="C1191" t="s">
        <v>139</v>
      </c>
      <c r="D1191" t="s">
        <v>37</v>
      </c>
      <c r="E1191" t="s">
        <v>184</v>
      </c>
    </row>
    <row r="1192" spans="1:5">
      <c r="A1192" s="3">
        <v>46203</v>
      </c>
      <c r="B1192" t="s">
        <v>142</v>
      </c>
      <c r="C1192" t="s">
        <v>143</v>
      </c>
      <c r="D1192" t="s">
        <v>13</v>
      </c>
      <c r="E1192" t="s">
        <v>184</v>
      </c>
    </row>
    <row r="1193" spans="1:5">
      <c r="A1193" s="3">
        <v>46203</v>
      </c>
      <c r="B1193" t="s">
        <v>146</v>
      </c>
      <c r="C1193" t="s">
        <v>147</v>
      </c>
      <c r="D1193" t="s">
        <v>25</v>
      </c>
      <c r="E1193" t="s">
        <v>186</v>
      </c>
    </row>
    <row r="1194" spans="1:5">
      <c r="A1194" s="3">
        <v>46203</v>
      </c>
      <c r="B1194" t="s">
        <v>149</v>
      </c>
      <c r="C1194" t="s">
        <v>150</v>
      </c>
      <c r="D1194" t="s">
        <v>31</v>
      </c>
      <c r="E1194" t="s">
        <v>184</v>
      </c>
    </row>
    <row r="1195" spans="1:5">
      <c r="A1195" s="3">
        <v>46203</v>
      </c>
      <c r="B1195" t="s">
        <v>152</v>
      </c>
      <c r="C1195" t="s">
        <v>153</v>
      </c>
      <c r="D1195" t="s">
        <v>20</v>
      </c>
      <c r="E1195" t="s">
        <v>184</v>
      </c>
    </row>
    <row r="1196" spans="1:5">
      <c r="A1196" s="3">
        <v>46203</v>
      </c>
      <c r="B1196" t="s">
        <v>156</v>
      </c>
      <c r="C1196" t="s">
        <v>157</v>
      </c>
      <c r="D1196" t="s">
        <v>37</v>
      </c>
      <c r="E1196" t="s">
        <v>184</v>
      </c>
    </row>
    <row r="1197" spans="1:5">
      <c r="A1197" s="3">
        <v>46203</v>
      </c>
      <c r="B1197" t="s">
        <v>160</v>
      </c>
      <c r="C1197" t="s">
        <v>161</v>
      </c>
      <c r="D1197" t="s">
        <v>13</v>
      </c>
      <c r="E1197" t="s">
        <v>184</v>
      </c>
    </row>
    <row r="1198" spans="1:5">
      <c r="A1198" s="3">
        <v>46203</v>
      </c>
      <c r="B1198" t="s">
        <v>163</v>
      </c>
      <c r="C1198" t="s">
        <v>164</v>
      </c>
      <c r="D1198" t="s">
        <v>25</v>
      </c>
      <c r="E1198" t="s">
        <v>184</v>
      </c>
    </row>
    <row r="1199" spans="1:5">
      <c r="A1199" s="3">
        <v>46203</v>
      </c>
      <c r="B1199" t="s">
        <v>166</v>
      </c>
      <c r="C1199" t="s">
        <v>167</v>
      </c>
      <c r="D1199" t="s">
        <v>31</v>
      </c>
      <c r="E1199" t="s">
        <v>185</v>
      </c>
    </row>
    <row r="1200" spans="1:5">
      <c r="A1200" s="3">
        <v>46203</v>
      </c>
      <c r="B1200" t="s">
        <v>170</v>
      </c>
      <c r="C1200" t="s">
        <v>171</v>
      </c>
      <c r="D1200" t="s">
        <v>20</v>
      </c>
      <c r="E1200" t="s">
        <v>184</v>
      </c>
    </row>
    <row r="1201" spans="1:5">
      <c r="A1201" s="3">
        <v>46203</v>
      </c>
      <c r="B1201" t="s">
        <v>174</v>
      </c>
      <c r="C1201" t="s">
        <v>175</v>
      </c>
      <c r="D1201" t="s">
        <v>37</v>
      </c>
      <c r="E1201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1FAB-F8CF-4F6B-8316-3362F4282330}">
  <dimension ref="A1:N30"/>
  <sheetViews>
    <sheetView topLeftCell="C1" workbookViewId="0">
      <selection activeCell="K2" sqref="K2"/>
    </sheetView>
  </sheetViews>
  <sheetFormatPr defaultRowHeight="14.5"/>
  <cols>
    <col min="1" max="1" width="12.36328125" bestFit="1" customWidth="1"/>
    <col min="2" max="2" width="15.7265625" bestFit="1" customWidth="1"/>
    <col min="3" max="3" width="18.90625" bestFit="1" customWidth="1"/>
    <col min="4" max="4" width="14.453125" bestFit="1" customWidth="1"/>
    <col min="5" max="5" width="13.6328125" style="13" bestFit="1" customWidth="1"/>
    <col min="6" max="6" width="12.81640625" style="13" bestFit="1" customWidth="1"/>
    <col min="7" max="7" width="13.90625" style="18" bestFit="1" customWidth="1"/>
    <col min="8" max="8" width="18.54296875" bestFit="1" customWidth="1"/>
    <col min="10" max="10" width="22.81640625" bestFit="1" customWidth="1"/>
    <col min="11" max="11" width="8.7265625" style="15"/>
  </cols>
  <sheetData>
    <row r="1" spans="1:14">
      <c r="A1" s="1" t="s">
        <v>193</v>
      </c>
      <c r="B1" s="1" t="s">
        <v>0</v>
      </c>
      <c r="C1" s="1" t="s">
        <v>182</v>
      </c>
      <c r="D1" s="1" t="s">
        <v>194</v>
      </c>
      <c r="E1" s="9" t="s">
        <v>195</v>
      </c>
      <c r="F1" s="9" t="s">
        <v>196</v>
      </c>
      <c r="G1" s="16" t="s">
        <v>197</v>
      </c>
      <c r="H1" s="1" t="s">
        <v>198</v>
      </c>
      <c r="J1" s="14" t="s">
        <v>233</v>
      </c>
    </row>
    <row r="2" spans="1:14" ht="12.5" customHeight="1">
      <c r="A2" s="2" t="s">
        <v>199</v>
      </c>
      <c r="B2" s="2" t="s">
        <v>10</v>
      </c>
      <c r="C2" s="2" t="s">
        <v>11</v>
      </c>
      <c r="D2" s="2" t="s">
        <v>200</v>
      </c>
      <c r="E2" s="8">
        <v>46176</v>
      </c>
      <c r="F2" s="8">
        <v>46177</v>
      </c>
      <c r="G2" s="17">
        <f>(F2-E2)+1</f>
        <v>2</v>
      </c>
      <c r="H2" s="2" t="s">
        <v>201</v>
      </c>
      <c r="J2" t="s">
        <v>234</v>
      </c>
      <c r="K2" s="5" t="s">
        <v>67</v>
      </c>
    </row>
    <row r="3" spans="1:14" ht="12.5" customHeight="1">
      <c r="A3" s="2" t="s">
        <v>202</v>
      </c>
      <c r="B3" s="2" t="s">
        <v>23</v>
      </c>
      <c r="C3" s="2" t="s">
        <v>24</v>
      </c>
      <c r="D3" s="2" t="s">
        <v>203</v>
      </c>
      <c r="E3" s="8">
        <v>46178</v>
      </c>
      <c r="F3" s="8">
        <v>46178</v>
      </c>
      <c r="G3" s="17">
        <f t="shared" ref="G3:G29" si="0">(F3-E3)+1</f>
        <v>1</v>
      </c>
      <c r="H3" s="2" t="s">
        <v>201</v>
      </c>
      <c r="J3" t="s">
        <v>235</v>
      </c>
      <c r="K3" s="15">
        <f>COUNTIF(tbl_Leave[Employee ID],"EMP001")</f>
        <v>1</v>
      </c>
      <c r="N3">
        <f>1+1</f>
        <v>2</v>
      </c>
    </row>
    <row r="4" spans="1:14" ht="12.5" customHeight="1">
      <c r="A4" s="2" t="s">
        <v>204</v>
      </c>
      <c r="B4" s="2" t="s">
        <v>44</v>
      </c>
      <c r="C4" s="2" t="s">
        <v>45</v>
      </c>
      <c r="D4" s="2" t="s">
        <v>200</v>
      </c>
      <c r="E4" s="8">
        <v>46174</v>
      </c>
      <c r="F4" s="8">
        <v>46174</v>
      </c>
      <c r="G4" s="17">
        <f t="shared" si="0"/>
        <v>1</v>
      </c>
      <c r="H4" s="2" t="s">
        <v>201</v>
      </c>
      <c r="J4" t="s">
        <v>236</v>
      </c>
      <c r="K4">
        <f>SUMIFS(tbl_Leave[Total Days],tbl_Leave[Employee ID],K2)</f>
        <v>2</v>
      </c>
    </row>
    <row r="5" spans="1:14" ht="12.5" customHeight="1">
      <c r="A5" s="2" t="s">
        <v>205</v>
      </c>
      <c r="B5" s="2" t="s">
        <v>58</v>
      </c>
      <c r="C5" s="2" t="s">
        <v>59</v>
      </c>
      <c r="D5" s="2" t="s">
        <v>206</v>
      </c>
      <c r="E5" s="8">
        <v>46183</v>
      </c>
      <c r="F5" s="8">
        <v>46184</v>
      </c>
      <c r="G5" s="17">
        <f t="shared" si="0"/>
        <v>2</v>
      </c>
      <c r="H5" s="2" t="s">
        <v>207</v>
      </c>
      <c r="J5" t="s">
        <v>237</v>
      </c>
      <c r="K5" s="5">
        <f>COUNTIFS(tbl_Leave[Employee ID],K2,tbl_Leave[Approval Status],"Approved")</f>
        <v>1</v>
      </c>
    </row>
    <row r="6" spans="1:14" ht="12.5" customHeight="1">
      <c r="A6" s="2" t="s">
        <v>208</v>
      </c>
      <c r="B6" s="2" t="s">
        <v>67</v>
      </c>
      <c r="C6" s="2" t="s">
        <v>68</v>
      </c>
      <c r="D6" s="2" t="s">
        <v>203</v>
      </c>
      <c r="E6" s="8">
        <v>46181</v>
      </c>
      <c r="F6" s="8">
        <v>46182</v>
      </c>
      <c r="G6" s="17">
        <f t="shared" si="0"/>
        <v>2</v>
      </c>
      <c r="H6" s="2" t="s">
        <v>201</v>
      </c>
      <c r="J6" t="s">
        <v>238</v>
      </c>
      <c r="K6">
        <f>COUNTIFS(tbl_Leave[Employee ID],K2,tbl_Leave[Approval Status],"Pending")</f>
        <v>0</v>
      </c>
    </row>
    <row r="7" spans="1:14" ht="12.5" customHeight="1">
      <c r="A7" s="2" t="s">
        <v>209</v>
      </c>
      <c r="B7" s="2" t="s">
        <v>79</v>
      </c>
      <c r="C7" s="2" t="s">
        <v>80</v>
      </c>
      <c r="D7" s="2" t="s">
        <v>200</v>
      </c>
      <c r="E7" s="8">
        <v>46175</v>
      </c>
      <c r="F7" s="8">
        <v>46175</v>
      </c>
      <c r="G7" s="17">
        <f t="shared" si="0"/>
        <v>1</v>
      </c>
      <c r="H7" s="2" t="s">
        <v>201</v>
      </c>
    </row>
    <row r="8" spans="1:14" ht="12.5" customHeight="1">
      <c r="A8" s="2" t="s">
        <v>210</v>
      </c>
      <c r="B8" s="2" t="s">
        <v>95</v>
      </c>
      <c r="C8" s="2" t="s">
        <v>96</v>
      </c>
      <c r="D8" s="2" t="s">
        <v>200</v>
      </c>
      <c r="E8" s="8">
        <v>46179</v>
      </c>
      <c r="F8" s="8">
        <v>46179</v>
      </c>
      <c r="G8" s="17">
        <f t="shared" si="0"/>
        <v>1</v>
      </c>
      <c r="H8" s="2" t="s">
        <v>201</v>
      </c>
    </row>
    <row r="9" spans="1:14" ht="12.5" customHeight="1">
      <c r="A9" s="2" t="s">
        <v>211</v>
      </c>
      <c r="B9" s="2" t="s">
        <v>109</v>
      </c>
      <c r="C9" s="2" t="s">
        <v>110</v>
      </c>
      <c r="D9" s="2" t="s">
        <v>203</v>
      </c>
      <c r="E9" s="8">
        <v>46185</v>
      </c>
      <c r="F9" s="8">
        <v>46187</v>
      </c>
      <c r="G9" s="17">
        <f t="shared" si="0"/>
        <v>3</v>
      </c>
      <c r="H9" s="2" t="s">
        <v>201</v>
      </c>
    </row>
    <row r="10" spans="1:14" ht="12.5" customHeight="1">
      <c r="A10" s="2" t="s">
        <v>212</v>
      </c>
      <c r="B10" s="2" t="s">
        <v>29</v>
      </c>
      <c r="C10" s="2" t="s">
        <v>30</v>
      </c>
      <c r="D10" s="2" t="s">
        <v>206</v>
      </c>
      <c r="E10" s="8">
        <v>46177</v>
      </c>
      <c r="F10" s="8">
        <v>46177</v>
      </c>
      <c r="G10" s="17">
        <f t="shared" si="0"/>
        <v>1</v>
      </c>
      <c r="H10" s="2" t="s">
        <v>207</v>
      </c>
    </row>
    <row r="11" spans="1:14" ht="12.5" customHeight="1">
      <c r="A11" s="2" t="s">
        <v>213</v>
      </c>
      <c r="B11" s="2" t="s">
        <v>131</v>
      </c>
      <c r="C11" s="2" t="s">
        <v>132</v>
      </c>
      <c r="D11" s="2" t="s">
        <v>200</v>
      </c>
      <c r="E11" s="8">
        <v>46188</v>
      </c>
      <c r="F11" s="8">
        <v>46189</v>
      </c>
      <c r="G11" s="17">
        <f t="shared" si="0"/>
        <v>2</v>
      </c>
      <c r="H11" s="2" t="s">
        <v>201</v>
      </c>
    </row>
    <row r="12" spans="1:14" ht="12.5" customHeight="1">
      <c r="A12" s="2" t="s">
        <v>214</v>
      </c>
      <c r="B12" s="2" t="s">
        <v>146</v>
      </c>
      <c r="C12" s="2" t="s">
        <v>147</v>
      </c>
      <c r="D12" s="2" t="s">
        <v>200</v>
      </c>
      <c r="E12" s="8">
        <v>46180</v>
      </c>
      <c r="F12" s="8">
        <v>46180</v>
      </c>
      <c r="G12" s="17">
        <f t="shared" si="0"/>
        <v>1</v>
      </c>
      <c r="H12" s="2" t="s">
        <v>201</v>
      </c>
    </row>
    <row r="13" spans="1:14" ht="12.5" customHeight="1">
      <c r="A13" s="2" t="s">
        <v>215</v>
      </c>
      <c r="B13" s="2" t="s">
        <v>170</v>
      </c>
      <c r="C13" s="2" t="s">
        <v>171</v>
      </c>
      <c r="D13" s="2" t="s">
        <v>203</v>
      </c>
      <c r="E13" s="8">
        <v>46182</v>
      </c>
      <c r="F13" s="8">
        <v>46183</v>
      </c>
      <c r="G13" s="17">
        <f t="shared" si="0"/>
        <v>2</v>
      </c>
      <c r="H13" s="2" t="s">
        <v>216</v>
      </c>
    </row>
    <row r="14" spans="1:14" ht="12.5" customHeight="1">
      <c r="A14" s="2" t="s">
        <v>217</v>
      </c>
      <c r="B14" s="2" t="s">
        <v>35</v>
      </c>
      <c r="C14" s="2" t="s">
        <v>36</v>
      </c>
      <c r="D14" s="2" t="s">
        <v>200</v>
      </c>
      <c r="E14" s="8">
        <v>46184</v>
      </c>
      <c r="F14" s="8">
        <v>46184</v>
      </c>
      <c r="G14" s="17">
        <f t="shared" si="0"/>
        <v>1</v>
      </c>
      <c r="H14" s="2" t="s">
        <v>201</v>
      </c>
    </row>
    <row r="15" spans="1:14" ht="12.5" customHeight="1">
      <c r="A15" s="2" t="s">
        <v>218</v>
      </c>
      <c r="B15" s="2" t="s">
        <v>87</v>
      </c>
      <c r="C15" s="2" t="s">
        <v>88</v>
      </c>
      <c r="D15" s="2" t="s">
        <v>203</v>
      </c>
      <c r="E15" s="8">
        <v>46186</v>
      </c>
      <c r="F15" s="8">
        <v>46186</v>
      </c>
      <c r="G15" s="17">
        <f t="shared" si="0"/>
        <v>1</v>
      </c>
      <c r="H15" s="2" t="s">
        <v>201</v>
      </c>
    </row>
    <row r="16" spans="1:14" ht="12.5" customHeight="1">
      <c r="A16" s="2" t="s">
        <v>219</v>
      </c>
      <c r="B16" s="2" t="s">
        <v>117</v>
      </c>
      <c r="C16" s="2" t="s">
        <v>118</v>
      </c>
      <c r="D16" s="2" t="s">
        <v>206</v>
      </c>
      <c r="E16" s="8">
        <v>46190</v>
      </c>
      <c r="F16" s="8">
        <v>46191</v>
      </c>
      <c r="G16" s="17">
        <f t="shared" si="0"/>
        <v>2</v>
      </c>
      <c r="H16" s="2" t="s">
        <v>207</v>
      </c>
    </row>
    <row r="17" spans="1:8" ht="12.5" customHeight="1">
      <c r="A17" s="2" t="s">
        <v>220</v>
      </c>
      <c r="B17" s="2" t="s">
        <v>17</v>
      </c>
      <c r="C17" s="2" t="s">
        <v>18</v>
      </c>
      <c r="D17" s="2" t="s">
        <v>200</v>
      </c>
      <c r="E17" s="8">
        <v>46179</v>
      </c>
      <c r="F17" s="8">
        <v>46179</v>
      </c>
      <c r="G17" s="17">
        <f t="shared" si="0"/>
        <v>1</v>
      </c>
      <c r="H17" s="2" t="s">
        <v>201</v>
      </c>
    </row>
    <row r="18" spans="1:8" ht="12.5" customHeight="1">
      <c r="A18" s="2" t="s">
        <v>221</v>
      </c>
      <c r="B18" s="2" t="s">
        <v>63</v>
      </c>
      <c r="C18" s="2" t="s">
        <v>64</v>
      </c>
      <c r="D18" s="2" t="s">
        <v>203</v>
      </c>
      <c r="E18" s="8">
        <v>46187</v>
      </c>
      <c r="F18" s="8">
        <v>46188</v>
      </c>
      <c r="G18" s="17">
        <f t="shared" si="0"/>
        <v>2</v>
      </c>
      <c r="H18" s="2" t="s">
        <v>201</v>
      </c>
    </row>
    <row r="19" spans="1:8" ht="12.5" customHeight="1">
      <c r="A19" s="2" t="s">
        <v>222</v>
      </c>
      <c r="B19" s="2" t="s">
        <v>149</v>
      </c>
      <c r="C19" s="2" t="s">
        <v>150</v>
      </c>
      <c r="D19" s="2" t="s">
        <v>200</v>
      </c>
      <c r="E19" s="8">
        <v>46191</v>
      </c>
      <c r="F19" s="8">
        <v>46192</v>
      </c>
      <c r="G19" s="17">
        <f t="shared" si="0"/>
        <v>2</v>
      </c>
      <c r="H19" s="2" t="s">
        <v>216</v>
      </c>
    </row>
    <row r="20" spans="1:8" ht="12.5" customHeight="1">
      <c r="A20" s="2" t="s">
        <v>223</v>
      </c>
      <c r="B20" s="2" t="s">
        <v>163</v>
      </c>
      <c r="C20" s="2" t="s">
        <v>164</v>
      </c>
      <c r="D20" s="2" t="s">
        <v>200</v>
      </c>
      <c r="E20" s="8">
        <v>46193</v>
      </c>
      <c r="F20" s="8">
        <v>46193</v>
      </c>
      <c r="G20" s="17">
        <f t="shared" si="0"/>
        <v>1</v>
      </c>
      <c r="H20" s="2" t="s">
        <v>201</v>
      </c>
    </row>
    <row r="21" spans="1:8" ht="12.5" customHeight="1">
      <c r="A21" s="2" t="s">
        <v>224</v>
      </c>
      <c r="B21" s="2" t="s">
        <v>54</v>
      </c>
      <c r="C21" s="2" t="s">
        <v>55</v>
      </c>
      <c r="D21" s="2" t="s">
        <v>206</v>
      </c>
      <c r="E21" s="8">
        <v>46189</v>
      </c>
      <c r="F21" s="8">
        <v>46189</v>
      </c>
      <c r="G21" s="17">
        <f t="shared" si="0"/>
        <v>1</v>
      </c>
      <c r="H21" s="2" t="s">
        <v>201</v>
      </c>
    </row>
    <row r="22" spans="1:8" ht="12.5" customHeight="1">
      <c r="A22" s="2" t="s">
        <v>225</v>
      </c>
      <c r="B22" s="2" t="s">
        <v>82</v>
      </c>
      <c r="C22" s="2" t="s">
        <v>83</v>
      </c>
      <c r="D22" s="2" t="s">
        <v>203</v>
      </c>
      <c r="E22" s="8">
        <v>46192</v>
      </c>
      <c r="F22" s="8">
        <v>46193</v>
      </c>
      <c r="G22" s="17">
        <f t="shared" si="0"/>
        <v>2</v>
      </c>
      <c r="H22" s="2" t="s">
        <v>207</v>
      </c>
    </row>
    <row r="23" spans="1:8" ht="12.5" customHeight="1">
      <c r="A23" s="2" t="s">
        <v>226</v>
      </c>
      <c r="B23" s="2" t="s">
        <v>125</v>
      </c>
      <c r="C23" s="2" t="s">
        <v>126</v>
      </c>
      <c r="D23" s="2" t="s">
        <v>200</v>
      </c>
      <c r="E23" s="8">
        <v>46194</v>
      </c>
      <c r="F23" s="8">
        <v>46194</v>
      </c>
      <c r="G23" s="17">
        <f t="shared" si="0"/>
        <v>1</v>
      </c>
      <c r="H23" s="2" t="s">
        <v>201</v>
      </c>
    </row>
    <row r="24" spans="1:8" ht="12.5" customHeight="1">
      <c r="A24" s="2" t="s">
        <v>227</v>
      </c>
      <c r="B24" s="2" t="s">
        <v>138</v>
      </c>
      <c r="C24" s="2" t="s">
        <v>139</v>
      </c>
      <c r="D24" s="2" t="s">
        <v>203</v>
      </c>
      <c r="E24" s="8">
        <v>46195</v>
      </c>
      <c r="F24" s="8">
        <v>46196</v>
      </c>
      <c r="G24" s="17">
        <f t="shared" si="0"/>
        <v>2</v>
      </c>
      <c r="H24" s="2" t="s">
        <v>201</v>
      </c>
    </row>
    <row r="25" spans="1:8" ht="12.5" customHeight="1">
      <c r="A25" s="2" t="s">
        <v>228</v>
      </c>
      <c r="B25" s="2" t="s">
        <v>156</v>
      </c>
      <c r="C25" s="2" t="s">
        <v>157</v>
      </c>
      <c r="D25" s="2" t="s">
        <v>200</v>
      </c>
      <c r="E25" s="8">
        <v>46197</v>
      </c>
      <c r="F25" s="8">
        <v>46197</v>
      </c>
      <c r="G25" s="17">
        <f t="shared" si="0"/>
        <v>1</v>
      </c>
      <c r="H25" s="2" t="s">
        <v>201</v>
      </c>
    </row>
    <row r="26" spans="1:8" ht="12.5" customHeight="1">
      <c r="A26" s="2" t="s">
        <v>229</v>
      </c>
      <c r="B26" s="2" t="s">
        <v>104</v>
      </c>
      <c r="C26" s="2" t="s">
        <v>105</v>
      </c>
      <c r="D26" s="2" t="s">
        <v>206</v>
      </c>
      <c r="E26" s="8">
        <v>46198</v>
      </c>
      <c r="F26" s="8">
        <v>46199</v>
      </c>
      <c r="G26" s="17">
        <f t="shared" si="0"/>
        <v>2</v>
      </c>
      <c r="H26" s="2" t="s">
        <v>207</v>
      </c>
    </row>
    <row r="27" spans="1:8" ht="12.5" customHeight="1">
      <c r="A27" s="2" t="s">
        <v>230</v>
      </c>
      <c r="B27" s="2" t="s">
        <v>75</v>
      </c>
      <c r="C27" s="2" t="s">
        <v>76</v>
      </c>
      <c r="D27" s="2" t="s">
        <v>200</v>
      </c>
      <c r="E27" s="8">
        <v>46200</v>
      </c>
      <c r="F27" s="8">
        <v>46200</v>
      </c>
      <c r="G27" s="17">
        <f t="shared" si="0"/>
        <v>1</v>
      </c>
      <c r="H27" s="2" t="s">
        <v>201</v>
      </c>
    </row>
    <row r="28" spans="1:8" ht="12.5" customHeight="1">
      <c r="A28" s="2" t="s">
        <v>231</v>
      </c>
      <c r="B28" s="2" t="s">
        <v>135</v>
      </c>
      <c r="C28" s="2" t="s">
        <v>136</v>
      </c>
      <c r="D28" s="2" t="s">
        <v>203</v>
      </c>
      <c r="E28" s="8">
        <v>46201</v>
      </c>
      <c r="F28" s="8">
        <v>46202</v>
      </c>
      <c r="G28" s="17">
        <f t="shared" si="0"/>
        <v>2</v>
      </c>
      <c r="H28" s="2" t="s">
        <v>201</v>
      </c>
    </row>
    <row r="29" spans="1:8" ht="12.5" customHeight="1">
      <c r="A29" s="2" t="s">
        <v>232</v>
      </c>
      <c r="B29" s="2" t="s">
        <v>40</v>
      </c>
      <c r="C29" s="2" t="s">
        <v>41</v>
      </c>
      <c r="D29" s="2" t="s">
        <v>200</v>
      </c>
      <c r="E29" s="8">
        <v>46196</v>
      </c>
      <c r="F29" s="8">
        <v>46196</v>
      </c>
      <c r="G29" s="17">
        <f t="shared" si="0"/>
        <v>1</v>
      </c>
      <c r="H29" s="2" t="s">
        <v>216</v>
      </c>
    </row>
    <row r="30" spans="1:8" ht="12.5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F0AC-65E6-428E-A938-40549AEBA2F9}">
  <dimension ref="A1:F41"/>
  <sheetViews>
    <sheetView workbookViewId="0">
      <selection activeCell="D28" sqref="D28"/>
    </sheetView>
  </sheetViews>
  <sheetFormatPr defaultRowHeight="14.5"/>
  <cols>
    <col min="1" max="1" width="11.1796875" bestFit="1" customWidth="1"/>
    <col min="2" max="2" width="10.90625" bestFit="1" customWidth="1"/>
    <col min="3" max="3" width="10.453125" bestFit="1" customWidth="1"/>
    <col min="4" max="4" width="14.81640625" bestFit="1" customWidth="1"/>
    <col min="5" max="5" width="6.36328125" bestFit="1" customWidth="1"/>
    <col min="6" max="6" width="9.36328125" bestFit="1" customWidth="1"/>
  </cols>
  <sheetData>
    <row r="1" spans="1:6" s="19" customFormat="1">
      <c r="A1" s="19" t="s">
        <v>0</v>
      </c>
      <c r="B1" s="19" t="s">
        <v>239</v>
      </c>
      <c r="C1" s="19" t="s">
        <v>240</v>
      </c>
      <c r="D1" s="19" t="s">
        <v>241</v>
      </c>
      <c r="E1" s="19" t="s">
        <v>242</v>
      </c>
      <c r="F1" s="19" t="s">
        <v>243</v>
      </c>
    </row>
    <row r="2" spans="1:6">
      <c r="A2" t="str" cm="1">
        <f t="array" ref="A2:A41">tbl_Employee[Employee ID]</f>
        <v>EMP001</v>
      </c>
      <c r="B2" s="20">
        <f>_xlfn.XLOOKUP(A2, tbl_Employee[Employee ID], tbl_Employee[Salary])</f>
        <v>45000</v>
      </c>
      <c r="C2">
        <f>_xlfn.XLOOKUP(A2, Employee_Database!P:P, Employee_Database!U:U)</f>
        <v>86.7</v>
      </c>
      <c r="D2" s="20">
        <f>ROUND(B2*(100-C2)/100*0.5,0)</f>
        <v>2993</v>
      </c>
      <c r="E2" s="20">
        <f>IF(C2&gt;=95,B2*0.1,IF(C2&gt;=85,B2*0.05,0))</f>
        <v>2250</v>
      </c>
      <c r="F2" s="20">
        <f>B2+E2-D2</f>
        <v>44257</v>
      </c>
    </row>
    <row r="3" spans="1:6">
      <c r="A3" t="str">
        <v>EMP002</v>
      </c>
      <c r="B3" s="20">
        <f>_xlfn.XLOOKUP(A3, tbl_Employee[Employee ID], tbl_Employee[Salary])</f>
        <v>38000</v>
      </c>
      <c r="C3">
        <f>_xlfn.XLOOKUP(A3, Employee_Database!P:P, Employee_Database!U:U)</f>
        <v>80</v>
      </c>
      <c r="D3" s="20">
        <f t="shared" ref="D3:D41" si="0">ROUND(B3*(100-C3)/100*0.5,0)</f>
        <v>3800</v>
      </c>
      <c r="E3" s="20">
        <f t="shared" ref="E3:E41" si="1">IF(C3&gt;=95,B3*0.1,IF(C3&gt;=85,B3*0.05,0))</f>
        <v>0</v>
      </c>
      <c r="F3" s="20">
        <f t="shared" ref="F3:F41" si="2">B3+E3-D3</f>
        <v>34200</v>
      </c>
    </row>
    <row r="4" spans="1:6">
      <c r="A4" t="str">
        <v>EMP003</v>
      </c>
      <c r="B4" s="20">
        <f>_xlfn.XLOOKUP(A4, tbl_Employee[Employee ID], tbl_Employee[Salary])</f>
        <v>55000</v>
      </c>
      <c r="C4">
        <f>_xlfn.XLOOKUP(A4, Employee_Database!P:P, Employee_Database!U:U)</f>
        <v>91.7</v>
      </c>
      <c r="D4" s="20">
        <f t="shared" si="0"/>
        <v>2283</v>
      </c>
      <c r="E4" s="20">
        <f t="shared" si="1"/>
        <v>2750</v>
      </c>
      <c r="F4" s="20">
        <f t="shared" si="2"/>
        <v>55467</v>
      </c>
    </row>
    <row r="5" spans="1:6">
      <c r="A5" t="str">
        <v>EMP004</v>
      </c>
      <c r="B5" s="20">
        <f>_xlfn.XLOOKUP(A5, tbl_Employee[Employee ID], tbl_Employee[Salary])</f>
        <v>42000</v>
      </c>
      <c r="C5">
        <f>_xlfn.XLOOKUP(A5, Employee_Database!P:P, Employee_Database!U:U)</f>
        <v>80</v>
      </c>
      <c r="D5" s="20">
        <f t="shared" si="0"/>
        <v>4200</v>
      </c>
      <c r="E5" s="20">
        <f t="shared" si="1"/>
        <v>0</v>
      </c>
      <c r="F5" s="20">
        <f t="shared" si="2"/>
        <v>37800</v>
      </c>
    </row>
    <row r="6" spans="1:6">
      <c r="A6" t="str">
        <v>EMP005</v>
      </c>
      <c r="B6" s="20">
        <f>_xlfn.XLOOKUP(A6, tbl_Employee[Employee ID], tbl_Employee[Salary])</f>
        <v>36000</v>
      </c>
      <c r="C6">
        <f>_xlfn.XLOOKUP(A6, Employee_Database!P:P, Employee_Database!U:U)</f>
        <v>88.3</v>
      </c>
      <c r="D6" s="20">
        <f t="shared" si="0"/>
        <v>2106</v>
      </c>
      <c r="E6" s="20">
        <f t="shared" si="1"/>
        <v>1800</v>
      </c>
      <c r="F6" s="20">
        <f t="shared" si="2"/>
        <v>35694</v>
      </c>
    </row>
    <row r="7" spans="1:6">
      <c r="A7" t="str">
        <v>EMP006</v>
      </c>
      <c r="B7" s="20">
        <f>_xlfn.XLOOKUP(A7, tbl_Employee[Employee ID], tbl_Employee[Salary])</f>
        <v>62000</v>
      </c>
      <c r="C7">
        <f>_xlfn.XLOOKUP(A7, Employee_Database!P:P, Employee_Database!U:U)</f>
        <v>85</v>
      </c>
      <c r="D7" s="20">
        <f t="shared" si="0"/>
        <v>4650</v>
      </c>
      <c r="E7" s="20">
        <f t="shared" si="1"/>
        <v>3100</v>
      </c>
      <c r="F7" s="20">
        <f t="shared" si="2"/>
        <v>60450</v>
      </c>
    </row>
    <row r="8" spans="1:6">
      <c r="A8" t="str">
        <v>EMP007</v>
      </c>
      <c r="B8" s="20">
        <f>_xlfn.XLOOKUP(A8, tbl_Employee[Employee ID], tbl_Employee[Salary])</f>
        <v>32000</v>
      </c>
      <c r="C8">
        <f>_xlfn.XLOOKUP(A8, Employee_Database!P:P, Employee_Database!U:U)</f>
        <v>90</v>
      </c>
      <c r="D8" s="20">
        <f t="shared" si="0"/>
        <v>1600</v>
      </c>
      <c r="E8" s="20">
        <f t="shared" si="1"/>
        <v>1600</v>
      </c>
      <c r="F8" s="20">
        <f t="shared" si="2"/>
        <v>32000</v>
      </c>
    </row>
    <row r="9" spans="1:6">
      <c r="A9" t="str">
        <v>EMP008</v>
      </c>
      <c r="B9" s="20">
        <f>_xlfn.XLOOKUP(A9, tbl_Employee[Employee ID], tbl_Employee[Salary])</f>
        <v>60000</v>
      </c>
      <c r="C9">
        <f>_xlfn.XLOOKUP(A9, Employee_Database!P:P, Employee_Database!U:U)</f>
        <v>73.3</v>
      </c>
      <c r="D9" s="20">
        <f t="shared" si="0"/>
        <v>8010</v>
      </c>
      <c r="E9" s="20">
        <f t="shared" si="1"/>
        <v>0</v>
      </c>
      <c r="F9" s="20">
        <f t="shared" si="2"/>
        <v>51990</v>
      </c>
    </row>
    <row r="10" spans="1:6">
      <c r="A10" t="str">
        <v>EMP009</v>
      </c>
      <c r="B10" s="20">
        <f>_xlfn.XLOOKUP(A10, tbl_Employee[Employee ID], tbl_Employee[Salary])</f>
        <v>58000</v>
      </c>
      <c r="C10">
        <f>_xlfn.XLOOKUP(A10, Employee_Database!P:P, Employee_Database!U:U)</f>
        <v>83.3</v>
      </c>
      <c r="D10" s="20">
        <f t="shared" si="0"/>
        <v>4843</v>
      </c>
      <c r="E10" s="20">
        <f t="shared" si="1"/>
        <v>0</v>
      </c>
      <c r="F10" s="20">
        <f t="shared" si="2"/>
        <v>53157</v>
      </c>
    </row>
    <row r="11" spans="1:6">
      <c r="A11" t="str">
        <v>EMP010</v>
      </c>
      <c r="B11" s="20">
        <f>_xlfn.XLOOKUP(A11, tbl_Employee[Employee ID], tbl_Employee[Salary])</f>
        <v>56000</v>
      </c>
      <c r="C11">
        <f>_xlfn.XLOOKUP(A11, Employee_Database!P:P, Employee_Database!U:U)</f>
        <v>86.7</v>
      </c>
      <c r="D11" s="20">
        <f t="shared" si="0"/>
        <v>3724</v>
      </c>
      <c r="E11" s="20">
        <f t="shared" si="1"/>
        <v>2800</v>
      </c>
      <c r="F11" s="20">
        <f t="shared" si="2"/>
        <v>55076</v>
      </c>
    </row>
    <row r="12" spans="1:6">
      <c r="A12" t="str">
        <v>EMP011</v>
      </c>
      <c r="B12" s="20">
        <f>_xlfn.XLOOKUP(A12, tbl_Employee[Employee ID], tbl_Employee[Salary])</f>
        <v>44000</v>
      </c>
      <c r="C12">
        <f>_xlfn.XLOOKUP(A12, Employee_Database!P:P, Employee_Database!U:U)</f>
        <v>81.7</v>
      </c>
      <c r="D12" s="20">
        <f t="shared" si="0"/>
        <v>4026</v>
      </c>
      <c r="E12" s="20">
        <f t="shared" si="1"/>
        <v>0</v>
      </c>
      <c r="F12" s="20">
        <f t="shared" si="2"/>
        <v>39974</v>
      </c>
    </row>
    <row r="13" spans="1:6">
      <c r="A13" t="str">
        <v>EMP012</v>
      </c>
      <c r="B13" s="20">
        <f>_xlfn.XLOOKUP(A13, tbl_Employee[Employee ID], tbl_Employee[Salary])</f>
        <v>33000</v>
      </c>
      <c r="C13">
        <f>_xlfn.XLOOKUP(A13, Employee_Database!P:P, Employee_Database!U:U)</f>
        <v>86.7</v>
      </c>
      <c r="D13" s="20">
        <f t="shared" si="0"/>
        <v>2195</v>
      </c>
      <c r="E13" s="20">
        <f t="shared" si="1"/>
        <v>1650</v>
      </c>
      <c r="F13" s="20">
        <f t="shared" si="2"/>
        <v>32455</v>
      </c>
    </row>
    <row r="14" spans="1:6">
      <c r="A14" t="str">
        <v>EMP013</v>
      </c>
      <c r="B14" s="20">
        <f>_xlfn.XLOOKUP(A14, tbl_Employee[Employee ID], tbl_Employee[Salary])</f>
        <v>40000</v>
      </c>
      <c r="C14">
        <f>_xlfn.XLOOKUP(A14, Employee_Database!P:P, Employee_Database!U:U)</f>
        <v>85</v>
      </c>
      <c r="D14" s="20">
        <f t="shared" si="0"/>
        <v>3000</v>
      </c>
      <c r="E14" s="20">
        <f t="shared" si="1"/>
        <v>2000</v>
      </c>
      <c r="F14" s="20">
        <f t="shared" si="2"/>
        <v>39000</v>
      </c>
    </row>
    <row r="15" spans="1:6">
      <c r="A15" t="str">
        <v>EMP014</v>
      </c>
      <c r="B15" s="20">
        <f>_xlfn.XLOOKUP(A15, tbl_Employee[Employee ID], tbl_Employee[Salary])</f>
        <v>37000</v>
      </c>
      <c r="C15">
        <f>_xlfn.XLOOKUP(A15, Employee_Database!P:P, Employee_Database!U:U)</f>
        <v>86.7</v>
      </c>
      <c r="D15" s="20">
        <f t="shared" si="0"/>
        <v>2461</v>
      </c>
      <c r="E15" s="20">
        <f t="shared" si="1"/>
        <v>1850</v>
      </c>
      <c r="F15" s="20">
        <f t="shared" si="2"/>
        <v>36389</v>
      </c>
    </row>
    <row r="16" spans="1:6">
      <c r="A16" t="str">
        <v>EMP015</v>
      </c>
      <c r="B16" s="20">
        <f>_xlfn.XLOOKUP(A16, tbl_Employee[Employee ID], tbl_Employee[Salary])</f>
        <v>35000</v>
      </c>
      <c r="C16">
        <f>_xlfn.XLOOKUP(A16, Employee_Database!P:P, Employee_Database!U:U)</f>
        <v>93.3</v>
      </c>
      <c r="D16" s="20">
        <f t="shared" si="0"/>
        <v>1173</v>
      </c>
      <c r="E16" s="20">
        <f t="shared" si="1"/>
        <v>1750</v>
      </c>
      <c r="F16" s="20">
        <f t="shared" si="2"/>
        <v>35577</v>
      </c>
    </row>
    <row r="17" spans="1:6">
      <c r="A17" t="str">
        <v>EMP016</v>
      </c>
      <c r="B17" s="20">
        <f>_xlfn.XLOOKUP(A17, tbl_Employee[Employee ID], tbl_Employee[Salary])</f>
        <v>41000</v>
      </c>
      <c r="C17">
        <f>_xlfn.XLOOKUP(A17, Employee_Database!P:P, Employee_Database!U:U)</f>
        <v>83.3</v>
      </c>
      <c r="D17" s="20">
        <f t="shared" si="0"/>
        <v>3424</v>
      </c>
      <c r="E17" s="20">
        <f t="shared" si="1"/>
        <v>0</v>
      </c>
      <c r="F17" s="20">
        <f t="shared" si="2"/>
        <v>37576</v>
      </c>
    </row>
    <row r="18" spans="1:6">
      <c r="A18" t="str">
        <v>EMP017</v>
      </c>
      <c r="B18" s="20">
        <f>_xlfn.XLOOKUP(A18, tbl_Employee[Employee ID], tbl_Employee[Salary])</f>
        <v>28000</v>
      </c>
      <c r="C18">
        <f>_xlfn.XLOOKUP(A18, Employee_Database!P:P, Employee_Database!U:U)</f>
        <v>91.7</v>
      </c>
      <c r="D18" s="20">
        <f t="shared" si="0"/>
        <v>1162</v>
      </c>
      <c r="E18" s="20">
        <f t="shared" si="1"/>
        <v>1400</v>
      </c>
      <c r="F18" s="20">
        <f t="shared" si="2"/>
        <v>28238</v>
      </c>
    </row>
    <row r="19" spans="1:6">
      <c r="A19" t="str">
        <v>EMP018</v>
      </c>
      <c r="B19" s="20">
        <f>_xlfn.XLOOKUP(A19, tbl_Employee[Employee ID], tbl_Employee[Salary])</f>
        <v>39000</v>
      </c>
      <c r="C19">
        <f>_xlfn.XLOOKUP(A19, Employee_Database!P:P, Employee_Database!U:U)</f>
        <v>80</v>
      </c>
      <c r="D19" s="20">
        <f t="shared" si="0"/>
        <v>3900</v>
      </c>
      <c r="E19" s="20">
        <f t="shared" si="1"/>
        <v>0</v>
      </c>
      <c r="F19" s="20">
        <f t="shared" si="2"/>
        <v>35100</v>
      </c>
    </row>
    <row r="20" spans="1:6">
      <c r="A20" t="str">
        <v>EMP019</v>
      </c>
      <c r="B20" s="20">
        <f>_xlfn.XLOOKUP(A20, tbl_Employee[Employee ID], tbl_Employee[Salary])</f>
        <v>34000</v>
      </c>
      <c r="C20">
        <f>_xlfn.XLOOKUP(A20, Employee_Database!P:P, Employee_Database!U:U)</f>
        <v>80</v>
      </c>
      <c r="D20" s="20">
        <f t="shared" si="0"/>
        <v>3400</v>
      </c>
      <c r="E20" s="20">
        <f t="shared" si="1"/>
        <v>0</v>
      </c>
      <c r="F20" s="20">
        <f t="shared" si="2"/>
        <v>30600</v>
      </c>
    </row>
    <row r="21" spans="1:6">
      <c r="A21" t="str">
        <v>EMP020</v>
      </c>
      <c r="B21" s="20">
        <f>_xlfn.XLOOKUP(A21, tbl_Employee[Employee ID], tbl_Employee[Salary])</f>
        <v>30000</v>
      </c>
      <c r="C21">
        <f>_xlfn.XLOOKUP(A21, Employee_Database!P:P, Employee_Database!U:U)</f>
        <v>93.3</v>
      </c>
      <c r="D21" s="20">
        <f t="shared" si="0"/>
        <v>1005</v>
      </c>
      <c r="E21" s="20">
        <f t="shared" si="1"/>
        <v>1500</v>
      </c>
      <c r="F21" s="20">
        <f t="shared" si="2"/>
        <v>30495</v>
      </c>
    </row>
    <row r="22" spans="1:6">
      <c r="A22" t="str">
        <v>EMP021</v>
      </c>
      <c r="B22" s="20">
        <f>_xlfn.XLOOKUP(A22, tbl_Employee[Employee ID], tbl_Employee[Salary])</f>
        <v>48000</v>
      </c>
      <c r="C22">
        <f>_xlfn.XLOOKUP(A22, Employee_Database!P:P, Employee_Database!U:U)</f>
        <v>90</v>
      </c>
      <c r="D22" s="20">
        <f t="shared" si="0"/>
        <v>2400</v>
      </c>
      <c r="E22" s="20">
        <f t="shared" si="1"/>
        <v>2400</v>
      </c>
      <c r="F22" s="20">
        <f t="shared" si="2"/>
        <v>48000</v>
      </c>
    </row>
    <row r="23" spans="1:6">
      <c r="A23" t="str">
        <v>EMP022</v>
      </c>
      <c r="B23" s="20">
        <f>_xlfn.XLOOKUP(A23, tbl_Employee[Employee ID], tbl_Employee[Salary])</f>
        <v>33000</v>
      </c>
      <c r="C23">
        <f>_xlfn.XLOOKUP(A23, Employee_Database!P:P, Employee_Database!U:U)</f>
        <v>86.7</v>
      </c>
      <c r="D23" s="20">
        <f t="shared" si="0"/>
        <v>2195</v>
      </c>
      <c r="E23" s="20">
        <f t="shared" si="1"/>
        <v>1650</v>
      </c>
      <c r="F23" s="20">
        <f t="shared" si="2"/>
        <v>32455</v>
      </c>
    </row>
    <row r="24" spans="1:6">
      <c r="A24" t="str">
        <v>EMP023</v>
      </c>
      <c r="B24" s="20">
        <f>_xlfn.XLOOKUP(A24, tbl_Employee[Employee ID], tbl_Employee[Salary])</f>
        <v>59000</v>
      </c>
      <c r="C24">
        <f>_xlfn.XLOOKUP(A24, Employee_Database!P:P, Employee_Database!U:U)</f>
        <v>90</v>
      </c>
      <c r="D24" s="20">
        <f t="shared" si="0"/>
        <v>2950</v>
      </c>
      <c r="E24" s="20">
        <f t="shared" si="1"/>
        <v>2950</v>
      </c>
      <c r="F24" s="20">
        <f t="shared" si="2"/>
        <v>59000</v>
      </c>
    </row>
    <row r="25" spans="1:6">
      <c r="A25" t="str">
        <v>EMP024</v>
      </c>
      <c r="B25" s="20">
        <f>_xlfn.XLOOKUP(A25, tbl_Employee[Employee ID], tbl_Employee[Salary])</f>
        <v>36000</v>
      </c>
      <c r="C25">
        <f>_xlfn.XLOOKUP(A25, Employee_Database!P:P, Employee_Database!U:U)</f>
        <v>86.7</v>
      </c>
      <c r="D25" s="20">
        <f t="shared" si="0"/>
        <v>2394</v>
      </c>
      <c r="E25" s="20">
        <f t="shared" si="1"/>
        <v>1800</v>
      </c>
      <c r="F25" s="20">
        <f t="shared" si="2"/>
        <v>35406</v>
      </c>
    </row>
    <row r="26" spans="1:6">
      <c r="A26" t="str">
        <v>EMP025</v>
      </c>
      <c r="B26" s="20">
        <f>_xlfn.XLOOKUP(A26, tbl_Employee[Employee ID], tbl_Employee[Salary])</f>
        <v>35000</v>
      </c>
      <c r="C26">
        <f>_xlfn.XLOOKUP(A26, Employee_Database!P:P, Employee_Database!U:U)</f>
        <v>96.7</v>
      </c>
      <c r="D26" s="20">
        <f t="shared" si="0"/>
        <v>578</v>
      </c>
      <c r="E26" s="20">
        <f t="shared" si="1"/>
        <v>3500</v>
      </c>
      <c r="F26" s="20">
        <f t="shared" si="2"/>
        <v>37922</v>
      </c>
    </row>
    <row r="27" spans="1:6">
      <c r="A27" t="str">
        <v>EMP026</v>
      </c>
      <c r="B27" s="20">
        <f>_xlfn.XLOOKUP(A27, tbl_Employee[Employee ID], tbl_Employee[Salary])</f>
        <v>43000</v>
      </c>
      <c r="C27">
        <f>_xlfn.XLOOKUP(A27, Employee_Database!P:P, Employee_Database!U:U)</f>
        <v>85</v>
      </c>
      <c r="D27" s="20">
        <f t="shared" si="0"/>
        <v>3225</v>
      </c>
      <c r="E27" s="20">
        <f t="shared" si="1"/>
        <v>2150</v>
      </c>
      <c r="F27" s="20">
        <f t="shared" si="2"/>
        <v>41925</v>
      </c>
    </row>
    <row r="28" spans="1:6">
      <c r="A28" t="str">
        <v>EMP027</v>
      </c>
      <c r="B28" s="20">
        <f>_xlfn.XLOOKUP(A28, tbl_Employee[Employee ID], tbl_Employee[Salary])</f>
        <v>54000</v>
      </c>
      <c r="C28">
        <f>_xlfn.XLOOKUP(A28, Employee_Database!P:P, Employee_Database!U:U)</f>
        <v>86.7</v>
      </c>
      <c r="D28" s="20">
        <f t="shared" si="0"/>
        <v>3591</v>
      </c>
      <c r="E28" s="20">
        <f t="shared" si="1"/>
        <v>2700</v>
      </c>
      <c r="F28" s="20">
        <f t="shared" si="2"/>
        <v>53109</v>
      </c>
    </row>
    <row r="29" spans="1:6">
      <c r="A29" t="str">
        <v>EMP028</v>
      </c>
      <c r="B29" s="20">
        <f>_xlfn.XLOOKUP(A29, tbl_Employee[Employee ID], tbl_Employee[Salary])</f>
        <v>40000</v>
      </c>
      <c r="C29">
        <f>_xlfn.XLOOKUP(A29, Employee_Database!P:P, Employee_Database!U:U)</f>
        <v>73.3</v>
      </c>
      <c r="D29" s="20">
        <f t="shared" si="0"/>
        <v>5340</v>
      </c>
      <c r="E29" s="20">
        <f t="shared" si="1"/>
        <v>0</v>
      </c>
      <c r="F29" s="20">
        <f t="shared" si="2"/>
        <v>34660</v>
      </c>
    </row>
    <row r="30" spans="1:6">
      <c r="A30" t="str">
        <v>EMP029</v>
      </c>
      <c r="B30" s="20">
        <f>_xlfn.XLOOKUP(A30, tbl_Employee[Employee ID], tbl_Employee[Salary])</f>
        <v>33000</v>
      </c>
      <c r="C30">
        <f>_xlfn.XLOOKUP(A30, Employee_Database!P:P, Employee_Database!U:U)</f>
        <v>93.3</v>
      </c>
      <c r="D30" s="20">
        <f t="shared" si="0"/>
        <v>1106</v>
      </c>
      <c r="E30" s="20">
        <f t="shared" si="1"/>
        <v>1650</v>
      </c>
      <c r="F30" s="20">
        <f t="shared" si="2"/>
        <v>33544</v>
      </c>
    </row>
    <row r="31" spans="1:6">
      <c r="A31" t="str">
        <v>EMP030</v>
      </c>
      <c r="B31" s="20">
        <f>_xlfn.XLOOKUP(A31, tbl_Employee[Employee ID], tbl_Employee[Salary])</f>
        <v>57000</v>
      </c>
      <c r="C31">
        <f>_xlfn.XLOOKUP(A31, Employee_Database!P:P, Employee_Database!U:U)</f>
        <v>90</v>
      </c>
      <c r="D31" s="20">
        <f t="shared" si="0"/>
        <v>2850</v>
      </c>
      <c r="E31" s="20">
        <f t="shared" si="1"/>
        <v>2850</v>
      </c>
      <c r="F31" s="20">
        <f t="shared" si="2"/>
        <v>57000</v>
      </c>
    </row>
    <row r="32" spans="1:6">
      <c r="A32" t="str">
        <v>EMP031</v>
      </c>
      <c r="B32" s="20">
        <f>_xlfn.XLOOKUP(A32, tbl_Employee[Employee ID], tbl_Employee[Salary])</f>
        <v>63000</v>
      </c>
      <c r="C32">
        <f>_xlfn.XLOOKUP(A32, Employee_Database!P:P, Employee_Database!U:U)</f>
        <v>86.7</v>
      </c>
      <c r="D32" s="20">
        <f t="shared" si="0"/>
        <v>4190</v>
      </c>
      <c r="E32" s="20">
        <f t="shared" si="1"/>
        <v>3150</v>
      </c>
      <c r="F32" s="20">
        <f t="shared" si="2"/>
        <v>61960</v>
      </c>
    </row>
    <row r="33" spans="1:6">
      <c r="A33" t="str">
        <v>EMP032</v>
      </c>
      <c r="B33" s="20">
        <f>_xlfn.XLOOKUP(A33, tbl_Employee[Employee ID], tbl_Employee[Salary])</f>
        <v>27000</v>
      </c>
      <c r="C33">
        <f>_xlfn.XLOOKUP(A33, Employee_Database!P:P, Employee_Database!U:U)</f>
        <v>86.7</v>
      </c>
      <c r="D33" s="20">
        <f t="shared" si="0"/>
        <v>1796</v>
      </c>
      <c r="E33" s="20">
        <f t="shared" si="1"/>
        <v>1350</v>
      </c>
      <c r="F33" s="20">
        <f t="shared" si="2"/>
        <v>26554</v>
      </c>
    </row>
    <row r="34" spans="1:6">
      <c r="A34" t="str">
        <v>EMP033</v>
      </c>
      <c r="B34" s="20">
        <f>_xlfn.XLOOKUP(A34, tbl_Employee[Employee ID], tbl_Employee[Salary])</f>
        <v>41000</v>
      </c>
      <c r="C34">
        <f>_xlfn.XLOOKUP(A34, Employee_Database!P:P, Employee_Database!U:U)</f>
        <v>85</v>
      </c>
      <c r="D34" s="20">
        <f t="shared" si="0"/>
        <v>3075</v>
      </c>
      <c r="E34" s="20">
        <f t="shared" si="1"/>
        <v>2050</v>
      </c>
      <c r="F34" s="20">
        <f t="shared" si="2"/>
        <v>39975</v>
      </c>
    </row>
    <row r="35" spans="1:6">
      <c r="A35" t="str">
        <v>EMP034</v>
      </c>
      <c r="B35" s="20">
        <f>_xlfn.XLOOKUP(A35, tbl_Employee[Employee ID], tbl_Employee[Salary])</f>
        <v>59000</v>
      </c>
      <c r="C35">
        <f>_xlfn.XLOOKUP(A35, Employee_Database!P:P, Employee_Database!U:U)</f>
        <v>93.3</v>
      </c>
      <c r="D35" s="20">
        <f t="shared" si="0"/>
        <v>1977</v>
      </c>
      <c r="E35" s="20">
        <f t="shared" si="1"/>
        <v>2950</v>
      </c>
      <c r="F35" s="20">
        <f t="shared" si="2"/>
        <v>59973</v>
      </c>
    </row>
    <row r="36" spans="1:6">
      <c r="A36" t="str">
        <v>EMP035</v>
      </c>
      <c r="B36" s="20">
        <f>_xlfn.XLOOKUP(A36, tbl_Employee[Employee ID], tbl_Employee[Salary])</f>
        <v>29000</v>
      </c>
      <c r="C36">
        <f>_xlfn.XLOOKUP(A36, Employee_Database!P:P, Employee_Database!U:U)</f>
        <v>80</v>
      </c>
      <c r="D36" s="20">
        <f t="shared" si="0"/>
        <v>2900</v>
      </c>
      <c r="E36" s="20">
        <f t="shared" si="1"/>
        <v>0</v>
      </c>
      <c r="F36" s="20">
        <f t="shared" si="2"/>
        <v>26100</v>
      </c>
    </row>
    <row r="37" spans="1:6">
      <c r="A37" t="str">
        <v>EMP036</v>
      </c>
      <c r="B37" s="20">
        <f>_xlfn.XLOOKUP(A37, tbl_Employee[Employee ID], tbl_Employee[Salary])</f>
        <v>40000</v>
      </c>
      <c r="C37">
        <f>_xlfn.XLOOKUP(A37, Employee_Database!P:P, Employee_Database!U:U)</f>
        <v>90</v>
      </c>
      <c r="D37" s="20">
        <f t="shared" si="0"/>
        <v>2000</v>
      </c>
      <c r="E37" s="20">
        <f t="shared" si="1"/>
        <v>2000</v>
      </c>
      <c r="F37" s="20">
        <f t="shared" si="2"/>
        <v>40000</v>
      </c>
    </row>
    <row r="38" spans="1:6">
      <c r="A38" t="str">
        <v>EMP037</v>
      </c>
      <c r="B38" s="20">
        <f>_xlfn.XLOOKUP(A38, tbl_Employee[Employee ID], tbl_Employee[Salary])</f>
        <v>34000</v>
      </c>
      <c r="C38">
        <f>_xlfn.XLOOKUP(A38, Employee_Database!P:P, Employee_Database!U:U)</f>
        <v>73.3</v>
      </c>
      <c r="D38" s="20">
        <f t="shared" si="0"/>
        <v>4539</v>
      </c>
      <c r="E38" s="20">
        <f t="shared" si="1"/>
        <v>0</v>
      </c>
      <c r="F38" s="20">
        <f t="shared" si="2"/>
        <v>29461</v>
      </c>
    </row>
    <row r="39" spans="1:6">
      <c r="A39" t="str">
        <v>EMP038</v>
      </c>
      <c r="B39" s="20">
        <f>_xlfn.XLOOKUP(A39, tbl_Employee[Employee ID], tbl_Employee[Salary])</f>
        <v>61000</v>
      </c>
      <c r="C39">
        <f>_xlfn.XLOOKUP(A39, Employee_Database!P:P, Employee_Database!U:U)</f>
        <v>73.3</v>
      </c>
      <c r="D39" s="20">
        <f t="shared" si="0"/>
        <v>8144</v>
      </c>
      <c r="E39" s="20">
        <f t="shared" si="1"/>
        <v>0</v>
      </c>
      <c r="F39" s="20">
        <f t="shared" si="2"/>
        <v>52856</v>
      </c>
    </row>
    <row r="40" spans="1:6">
      <c r="A40" t="str">
        <v>EMP039</v>
      </c>
      <c r="B40" s="20">
        <f>_xlfn.XLOOKUP(A40, tbl_Employee[Employee ID], tbl_Employee[Salary])</f>
        <v>35000</v>
      </c>
      <c r="C40">
        <f>_xlfn.XLOOKUP(A40, Employee_Database!P:P, Employee_Database!U:U)</f>
        <v>86.7</v>
      </c>
      <c r="D40" s="20">
        <f t="shared" si="0"/>
        <v>2328</v>
      </c>
      <c r="E40" s="20">
        <f t="shared" si="1"/>
        <v>1750</v>
      </c>
      <c r="F40" s="20">
        <f t="shared" si="2"/>
        <v>34422</v>
      </c>
    </row>
    <row r="41" spans="1:6">
      <c r="A41" t="str">
        <v>EMP040</v>
      </c>
      <c r="B41" s="20">
        <f>_xlfn.XLOOKUP(A41, tbl_Employee[Employee ID], tbl_Employee[Salary])</f>
        <v>0</v>
      </c>
      <c r="C41">
        <f>_xlfn.XLOOKUP(A41, Employee_Database!P:P, Employee_Database!U:U)</f>
        <v>83.3</v>
      </c>
      <c r="D41" s="20">
        <f t="shared" si="0"/>
        <v>0</v>
      </c>
      <c r="E41" s="20">
        <f t="shared" si="1"/>
        <v>0</v>
      </c>
      <c r="F41" s="20">
        <f t="shared" si="2"/>
        <v>0</v>
      </c>
    </row>
  </sheetData>
  <conditionalFormatting sqref="F2:F41">
    <cfRule type="top10" dxfId="6" priority="2" rank="5"/>
  </conditionalFormatting>
  <conditionalFormatting sqref="C2:C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1907-DE11-45D4-A198-3960AD77C2F4}">
  <dimension ref="A1:F41"/>
  <sheetViews>
    <sheetView topLeftCell="A11" workbookViewId="0">
      <selection activeCell="F2" sqref="F2:F41"/>
    </sheetView>
  </sheetViews>
  <sheetFormatPr defaultRowHeight="14.5"/>
  <cols>
    <col min="1" max="1" width="10.7265625" bestFit="1" customWidth="1"/>
    <col min="2" max="2" width="13.90625" bestFit="1" customWidth="1"/>
    <col min="3" max="3" width="8.36328125" bestFit="1" customWidth="1"/>
    <col min="4" max="4" width="15.26953125" bestFit="1" customWidth="1"/>
    <col min="5" max="5" width="15.453125" bestFit="1" customWidth="1"/>
    <col min="6" max="6" width="13.26953125" bestFit="1" customWidth="1"/>
  </cols>
  <sheetData>
    <row r="1" spans="1:6">
      <c r="A1" t="s">
        <v>0</v>
      </c>
      <c r="B1" t="s">
        <v>182</v>
      </c>
      <c r="C1" t="s">
        <v>245</v>
      </c>
      <c r="D1" t="s">
        <v>244</v>
      </c>
      <c r="E1" t="s">
        <v>246</v>
      </c>
      <c r="F1" s="21" t="s">
        <v>247</v>
      </c>
    </row>
    <row r="2" spans="1:6">
      <c r="A2" t="str">
        <f>Employee_Database!A2</f>
        <v>EMP001</v>
      </c>
      <c r="B2" t="str">
        <f>_xlfn.XLOOKUP(A2, tbl_Employee[Employee ID], tbl_Employee[Full Name])</f>
        <v>Rohan Mehta</v>
      </c>
      <c r="C2">
        <v>83</v>
      </c>
      <c r="D2">
        <f>_xlfn.XLOOKUP(A2, Payroll!A:A, Payroll!C:C)</f>
        <v>86.7</v>
      </c>
      <c r="E2">
        <v>76</v>
      </c>
      <c r="F2" t="str">
        <f>IF(AVERAGE(C2,D2,E2)&gt;=85,"Excellent",IF(AVERAGE(C2,D2,E2)&gt;=70,"Good",IF(AVERAGE(C2,D2,E2)&gt;=55,"Average","Poor")))</f>
        <v>Good</v>
      </c>
    </row>
    <row r="3" spans="1:6">
      <c r="A3" t="str">
        <f>Employee_Database!A3</f>
        <v>EMP002</v>
      </c>
      <c r="B3" t="str">
        <f>_xlfn.XLOOKUP(A3, tbl_Employee[Employee ID], tbl_Employee[Full Name])</f>
        <v>Priya Sharma</v>
      </c>
      <c r="C3">
        <v>61</v>
      </c>
      <c r="D3">
        <f>_xlfn.XLOOKUP(A3, Payroll!A:A, Payroll!C:C)</f>
        <v>80</v>
      </c>
      <c r="E3">
        <v>94</v>
      </c>
      <c r="F3" t="str">
        <f t="shared" ref="F3:F41" si="0">IF(AVERAGE(C3,D3,E3)&gt;=85,"Excellent",IF(AVERAGE(C3,D3,E3)&gt;=70,"Good",IF(AVERAGE(C3,D3,E3)&gt;=55,"Average","Poor")))</f>
        <v>Good</v>
      </c>
    </row>
    <row r="4" spans="1:6">
      <c r="A4" t="str">
        <f>Employee_Database!A4</f>
        <v>EMP003</v>
      </c>
      <c r="B4" t="str">
        <f>_xlfn.XLOOKUP(A4, tbl_Employee[Employee ID], tbl_Employee[Full Name])</f>
        <v>Aman Gupta</v>
      </c>
      <c r="C4">
        <v>94</v>
      </c>
      <c r="D4">
        <f>_xlfn.XLOOKUP(A4, Payroll!A:A, Payroll!C:C)</f>
        <v>91.7</v>
      </c>
      <c r="E4">
        <v>67</v>
      </c>
      <c r="F4" t="str">
        <f t="shared" si="0"/>
        <v>Good</v>
      </c>
    </row>
    <row r="5" spans="1:6">
      <c r="A5" t="str">
        <f>Employee_Database!A5</f>
        <v>EMP004</v>
      </c>
      <c r="B5" t="str">
        <f>_xlfn.XLOOKUP(A5, tbl_Employee[Employee ID], tbl_Employee[Full Name])</f>
        <v>Sneha Verma</v>
      </c>
      <c r="C5">
        <v>87</v>
      </c>
      <c r="D5">
        <f>_xlfn.XLOOKUP(A5, Payroll!A:A, Payroll!C:C)</f>
        <v>80</v>
      </c>
      <c r="E5">
        <v>74</v>
      </c>
      <c r="F5" t="str">
        <f t="shared" si="0"/>
        <v>Good</v>
      </c>
    </row>
    <row r="6" spans="1:6">
      <c r="A6" t="str">
        <f>Employee_Database!A6</f>
        <v>EMP005</v>
      </c>
      <c r="B6" t="str">
        <f>_xlfn.XLOOKUP(A6, tbl_Employee[Employee ID], tbl_Employee[Full Name])</f>
        <v>Vikram Singh</v>
      </c>
      <c r="C6">
        <v>97</v>
      </c>
      <c r="D6">
        <f>_xlfn.XLOOKUP(A6, Payroll!A:A, Payroll!C:C)</f>
        <v>88.3</v>
      </c>
      <c r="E6">
        <v>77</v>
      </c>
      <c r="F6" t="str">
        <f t="shared" si="0"/>
        <v>Excellent</v>
      </c>
    </row>
    <row r="7" spans="1:6">
      <c r="A7" t="str">
        <f>Employee_Database!A7</f>
        <v>EMP006</v>
      </c>
      <c r="B7" t="str">
        <f>_xlfn.XLOOKUP(A7, tbl_Employee[Employee ID], tbl_Employee[Full Name])</f>
        <v>Anjali Nair</v>
      </c>
      <c r="C7">
        <v>87</v>
      </c>
      <c r="D7">
        <f>_xlfn.XLOOKUP(A7, Payroll!A:A, Payroll!C:C)</f>
        <v>85</v>
      </c>
      <c r="E7">
        <v>65</v>
      </c>
      <c r="F7" t="str">
        <f t="shared" si="0"/>
        <v>Good</v>
      </c>
    </row>
    <row r="8" spans="1:6">
      <c r="A8" t="str">
        <f>Employee_Database!A8</f>
        <v>EMP007</v>
      </c>
      <c r="B8" t="str">
        <f>_xlfn.XLOOKUP(A8, tbl_Employee[Employee ID], tbl_Employee[Full Name])</f>
        <v>Karan Malhotra</v>
      </c>
      <c r="C8">
        <v>80</v>
      </c>
      <c r="D8">
        <f>_xlfn.XLOOKUP(A8, Payroll!A:A, Payroll!C:C)</f>
        <v>90</v>
      </c>
      <c r="E8">
        <v>86</v>
      </c>
      <c r="F8" t="str">
        <f t="shared" si="0"/>
        <v>Excellent</v>
      </c>
    </row>
    <row r="9" spans="1:6">
      <c r="A9" t="str">
        <f>Employee_Database!A9</f>
        <v>EMP008</v>
      </c>
      <c r="B9" t="str">
        <f>_xlfn.XLOOKUP(A9, tbl_Employee[Employee ID], tbl_Employee[Full Name])</f>
        <v>Pooja Iyer</v>
      </c>
      <c r="C9">
        <v>83</v>
      </c>
      <c r="D9">
        <f>_xlfn.XLOOKUP(A9, Payroll!A:A, Payroll!C:C)</f>
        <v>73.3</v>
      </c>
      <c r="E9">
        <v>90</v>
      </c>
      <c r="F9" t="str">
        <f t="shared" si="0"/>
        <v>Good</v>
      </c>
    </row>
    <row r="10" spans="1:6">
      <c r="A10" t="str">
        <f>Employee_Database!A10</f>
        <v>EMP009</v>
      </c>
      <c r="B10" t="str">
        <f>_xlfn.XLOOKUP(A10, tbl_Employee[Employee ID], tbl_Employee[Full Name])</f>
        <v>Rahul Kapoor</v>
      </c>
      <c r="C10">
        <v>70</v>
      </c>
      <c r="D10">
        <f>_xlfn.XLOOKUP(A10, Payroll!A:A, Payroll!C:C)</f>
        <v>83.3</v>
      </c>
      <c r="E10">
        <v>87</v>
      </c>
      <c r="F10" t="str">
        <f t="shared" si="0"/>
        <v>Good</v>
      </c>
    </row>
    <row r="11" spans="1:6">
      <c r="A11" t="str">
        <f>Employee_Database!A11</f>
        <v>EMP010</v>
      </c>
      <c r="B11" t="str">
        <f>_xlfn.XLOOKUP(A11, tbl_Employee[Employee ID], tbl_Employee[Full Name])</f>
        <v>Neha Reddy</v>
      </c>
      <c r="C11">
        <v>80</v>
      </c>
      <c r="D11">
        <f>_xlfn.XLOOKUP(A11, Payroll!A:A, Payroll!C:C)</f>
        <v>86.7</v>
      </c>
      <c r="E11">
        <v>91</v>
      </c>
      <c r="F11" t="str">
        <f t="shared" si="0"/>
        <v>Excellent</v>
      </c>
    </row>
    <row r="12" spans="1:6">
      <c r="A12" t="str">
        <f>Employee_Database!A12</f>
        <v>EMP011</v>
      </c>
      <c r="B12" t="str">
        <f>_xlfn.XLOOKUP(A12, tbl_Employee[Employee ID], tbl_Employee[Full Name])</f>
        <v>Arjun Desai</v>
      </c>
      <c r="C12">
        <v>65</v>
      </c>
      <c r="D12">
        <f>_xlfn.XLOOKUP(A12, Payroll!A:A, Payroll!C:C)</f>
        <v>81.7</v>
      </c>
      <c r="E12">
        <v>91</v>
      </c>
      <c r="F12" t="str">
        <f t="shared" si="0"/>
        <v>Good</v>
      </c>
    </row>
    <row r="13" spans="1:6">
      <c r="A13" t="str">
        <f>Employee_Database!A13</f>
        <v>EMP012</v>
      </c>
      <c r="B13" t="str">
        <f>_xlfn.XLOOKUP(A13, tbl_Employee[Employee ID], tbl_Employee[Full Name])</f>
        <v>Divya Pillai</v>
      </c>
      <c r="C13">
        <v>75</v>
      </c>
      <c r="D13">
        <f>_xlfn.XLOOKUP(A13, Payroll!A:A, Payroll!C:C)</f>
        <v>86.7</v>
      </c>
      <c r="E13">
        <v>57</v>
      </c>
      <c r="F13" t="str">
        <f t="shared" si="0"/>
        <v>Good</v>
      </c>
    </row>
    <row r="14" spans="1:6">
      <c r="A14" t="str">
        <f>Employee_Database!A14</f>
        <v>EMP013</v>
      </c>
      <c r="B14" t="str">
        <f>_xlfn.XLOOKUP(A14, tbl_Employee[Employee ID], tbl_Employee[Full Name])</f>
        <v>Manish Joshi</v>
      </c>
      <c r="C14">
        <v>64</v>
      </c>
      <c r="D14">
        <f>_xlfn.XLOOKUP(A14, Payroll!A:A, Payroll!C:C)</f>
        <v>85</v>
      </c>
      <c r="E14">
        <v>67</v>
      </c>
      <c r="F14" t="str">
        <f t="shared" si="0"/>
        <v>Good</v>
      </c>
    </row>
    <row r="15" spans="1:6">
      <c r="A15" t="str">
        <f>Employee_Database!A15</f>
        <v>EMP014</v>
      </c>
      <c r="B15" t="str">
        <f>_xlfn.XLOOKUP(A15, tbl_Employee[Employee ID], tbl_Employee[Full Name])</f>
        <v>Ritu Choudhary</v>
      </c>
      <c r="C15">
        <v>69</v>
      </c>
      <c r="D15">
        <f>_xlfn.XLOOKUP(A15, Payroll!A:A, Payroll!C:C)</f>
        <v>86.7</v>
      </c>
      <c r="E15">
        <v>78</v>
      </c>
      <c r="F15" t="str">
        <f t="shared" si="0"/>
        <v>Good</v>
      </c>
    </row>
    <row r="16" spans="1:6">
      <c r="A16" t="str">
        <f>Employee_Database!A16</f>
        <v>EMP015</v>
      </c>
      <c r="B16" t="str">
        <f>_xlfn.XLOOKUP(A16, tbl_Employee[Employee ID], tbl_Employee[Full Name])</f>
        <v>Saurabh Tiwari</v>
      </c>
      <c r="C16">
        <v>66</v>
      </c>
      <c r="D16">
        <f>_xlfn.XLOOKUP(A16, Payroll!A:A, Payroll!C:C)</f>
        <v>93.3</v>
      </c>
      <c r="E16">
        <v>88</v>
      </c>
      <c r="F16" t="str">
        <f t="shared" si="0"/>
        <v>Good</v>
      </c>
    </row>
    <row r="17" spans="1:6">
      <c r="A17" t="str">
        <f>Employee_Database!A17</f>
        <v>EMP016</v>
      </c>
      <c r="B17" t="str">
        <f>_xlfn.XLOOKUP(A17, tbl_Employee[Employee ID], tbl_Employee[Full Name])</f>
        <v>Kavita Bhatt</v>
      </c>
      <c r="C17">
        <v>78</v>
      </c>
      <c r="D17">
        <f>_xlfn.XLOOKUP(A17, Payroll!A:A, Payroll!C:C)</f>
        <v>83.3</v>
      </c>
      <c r="E17">
        <v>78</v>
      </c>
      <c r="F17" t="str">
        <f t="shared" si="0"/>
        <v>Good</v>
      </c>
    </row>
    <row r="18" spans="1:6">
      <c r="A18" t="str">
        <f>Employee_Database!A18</f>
        <v>EMP017</v>
      </c>
      <c r="B18" t="str">
        <f>_xlfn.XLOOKUP(A18, tbl_Employee[Employee ID], tbl_Employee[Full Name])</f>
        <v>Deepak Rana</v>
      </c>
      <c r="C18">
        <v>74</v>
      </c>
      <c r="D18">
        <f>_xlfn.XLOOKUP(A18, Payroll!A:A, Payroll!C:C)</f>
        <v>91.7</v>
      </c>
      <c r="E18">
        <v>66</v>
      </c>
      <c r="F18" t="str">
        <f t="shared" si="0"/>
        <v>Good</v>
      </c>
    </row>
    <row r="19" spans="1:6">
      <c r="A19" t="str">
        <f>Employee_Database!A19</f>
        <v>EMP018</v>
      </c>
      <c r="B19" t="str">
        <f>_xlfn.XLOOKUP(A19, tbl_Employee[Employee ID], tbl_Employee[Full Name])</f>
        <v>Shruti Agarwal</v>
      </c>
      <c r="C19">
        <v>79</v>
      </c>
      <c r="D19">
        <f>_xlfn.XLOOKUP(A19, Payroll!A:A, Payroll!C:C)</f>
        <v>80</v>
      </c>
      <c r="E19">
        <v>72</v>
      </c>
      <c r="F19" t="str">
        <f t="shared" si="0"/>
        <v>Good</v>
      </c>
    </row>
    <row r="20" spans="1:6">
      <c r="A20" t="str">
        <f>Employee_Database!A20</f>
        <v>EMP019</v>
      </c>
      <c r="B20" t="str">
        <f>_xlfn.XLOOKUP(A20, tbl_Employee[Employee ID], tbl_Employee[Full Name])</f>
        <v>Nikhil Bose</v>
      </c>
      <c r="C20">
        <v>77</v>
      </c>
      <c r="D20">
        <f>_xlfn.XLOOKUP(A20, Payroll!A:A, Payroll!C:C)</f>
        <v>80</v>
      </c>
      <c r="E20">
        <v>61</v>
      </c>
      <c r="F20" t="str">
        <f t="shared" si="0"/>
        <v>Good</v>
      </c>
    </row>
    <row r="21" spans="1:6">
      <c r="A21" t="str">
        <f>Employee_Database!A21</f>
        <v>EMP020</v>
      </c>
      <c r="B21" t="str">
        <f>_xlfn.XLOOKUP(A21, tbl_Employee[Employee ID], tbl_Employee[Full Name])</f>
        <v>Meera Krishnan</v>
      </c>
      <c r="C21">
        <v>60</v>
      </c>
      <c r="D21">
        <f>_xlfn.XLOOKUP(A21, Payroll!A:A, Payroll!C:C)</f>
        <v>93.3</v>
      </c>
      <c r="E21">
        <v>80</v>
      </c>
      <c r="F21" t="str">
        <f t="shared" si="0"/>
        <v>Good</v>
      </c>
    </row>
    <row r="22" spans="1:6">
      <c r="A22" t="str">
        <f>Employee_Database!A22</f>
        <v>EMP021</v>
      </c>
      <c r="B22" t="str">
        <f>_xlfn.XLOOKUP(A22, tbl_Employee[Employee ID], tbl_Employee[Full Name])</f>
        <v>Suresh Yadav</v>
      </c>
      <c r="C22">
        <v>76</v>
      </c>
      <c r="D22">
        <f>_xlfn.XLOOKUP(A22, Payroll!A:A, Payroll!C:C)</f>
        <v>90</v>
      </c>
      <c r="E22">
        <v>94</v>
      </c>
      <c r="F22" t="str">
        <f t="shared" si="0"/>
        <v>Excellent</v>
      </c>
    </row>
    <row r="23" spans="1:6">
      <c r="A23" t="str">
        <f>Employee_Database!A23</f>
        <v>EMP022</v>
      </c>
      <c r="B23" t="str">
        <f>_xlfn.XLOOKUP(A23, tbl_Employee[Employee ID], tbl_Employee[Full Name])</f>
        <v>Tanvi Shetty</v>
      </c>
      <c r="C23">
        <v>94</v>
      </c>
      <c r="D23">
        <f>_xlfn.XLOOKUP(A23, Payroll!A:A, Payroll!C:C)</f>
        <v>86.7</v>
      </c>
      <c r="E23">
        <v>59</v>
      </c>
      <c r="F23" t="str">
        <f t="shared" si="0"/>
        <v>Good</v>
      </c>
    </row>
    <row r="24" spans="1:6">
      <c r="A24" t="str">
        <f>Employee_Database!A24</f>
        <v>EMP023</v>
      </c>
      <c r="B24" t="str">
        <f>_xlfn.XLOOKUP(A24, tbl_Employee[Employee ID], tbl_Employee[Full Name])</f>
        <v>Akash Pandey</v>
      </c>
      <c r="C24">
        <v>72</v>
      </c>
      <c r="D24">
        <f>_xlfn.XLOOKUP(A24, Payroll!A:A, Payroll!C:C)</f>
        <v>90</v>
      </c>
      <c r="E24">
        <v>82</v>
      </c>
      <c r="F24" t="str">
        <f t="shared" si="0"/>
        <v>Good</v>
      </c>
    </row>
    <row r="25" spans="1:6">
      <c r="A25" t="str">
        <f>Employee_Database!A25</f>
        <v>EMP024</v>
      </c>
      <c r="B25" t="str">
        <f>_xlfn.XLOOKUP(A25, tbl_Employee[Employee ID], tbl_Employee[Full Name])</f>
        <v>Swati Mishra</v>
      </c>
      <c r="C25">
        <v>96</v>
      </c>
      <c r="D25">
        <f>_xlfn.XLOOKUP(A25, Payroll!A:A, Payroll!C:C)</f>
        <v>86.7</v>
      </c>
      <c r="E25">
        <v>87</v>
      </c>
      <c r="F25" t="str">
        <f t="shared" si="0"/>
        <v>Excellent</v>
      </c>
    </row>
    <row r="26" spans="1:6">
      <c r="A26" t="str">
        <f>Employee_Database!A26</f>
        <v>EMP025</v>
      </c>
      <c r="B26" t="str">
        <f>_xlfn.XLOOKUP(A26, tbl_Employee[Employee ID], tbl_Employee[Full Name])</f>
        <v>Gaurav Saxena</v>
      </c>
      <c r="C26">
        <v>91</v>
      </c>
      <c r="D26">
        <f>_xlfn.XLOOKUP(A26, Payroll!A:A, Payroll!C:C)</f>
        <v>96.7</v>
      </c>
      <c r="E26">
        <v>70</v>
      </c>
      <c r="F26" t="str">
        <f t="shared" si="0"/>
        <v>Excellent</v>
      </c>
    </row>
    <row r="27" spans="1:6">
      <c r="A27" t="str">
        <f>Employee_Database!A27</f>
        <v>EMP026</v>
      </c>
      <c r="B27" t="str">
        <f>_xlfn.XLOOKUP(A27, tbl_Employee[Employee ID], tbl_Employee[Full Name])</f>
        <v>Isha Kulkarni</v>
      </c>
      <c r="C27">
        <v>64</v>
      </c>
      <c r="D27">
        <f>_xlfn.XLOOKUP(A27, Payroll!A:A, Payroll!C:C)</f>
        <v>85</v>
      </c>
      <c r="E27">
        <v>77</v>
      </c>
      <c r="F27" t="str">
        <f t="shared" si="0"/>
        <v>Good</v>
      </c>
    </row>
    <row r="28" spans="1:6">
      <c r="A28" t="str">
        <f>Employee_Database!A28</f>
        <v>EMP027</v>
      </c>
      <c r="B28" t="str">
        <f>_xlfn.XLOOKUP(A28, tbl_Employee[Employee ID], tbl_Employee[Full Name])</f>
        <v>Vivek Chauhan</v>
      </c>
      <c r="C28">
        <v>96</v>
      </c>
      <c r="D28">
        <f>_xlfn.XLOOKUP(A28, Payroll!A:A, Payroll!C:C)</f>
        <v>86.7</v>
      </c>
      <c r="E28">
        <v>69</v>
      </c>
      <c r="F28" t="str">
        <f t="shared" si="0"/>
        <v>Good</v>
      </c>
    </row>
    <row r="29" spans="1:6">
      <c r="A29" t="str">
        <f>Employee_Database!A29</f>
        <v>EMP028</v>
      </c>
      <c r="B29" t="str">
        <f>_xlfn.XLOOKUP(A29, tbl_Employee[Employee ID], tbl_Employee[Full Name])</f>
        <v>Anushka Menon</v>
      </c>
      <c r="C29">
        <v>65</v>
      </c>
      <c r="D29">
        <f>_xlfn.XLOOKUP(A29, Payroll!A:A, Payroll!C:C)</f>
        <v>73.3</v>
      </c>
      <c r="E29">
        <v>77</v>
      </c>
      <c r="F29" t="str">
        <f t="shared" si="0"/>
        <v>Good</v>
      </c>
    </row>
    <row r="30" spans="1:6">
      <c r="A30" t="str">
        <f>Employee_Database!A30</f>
        <v>EMP029</v>
      </c>
      <c r="B30" t="str">
        <f>_xlfn.XLOOKUP(A30, tbl_Employee[Employee ID], tbl_Employee[Full Name])</f>
        <v>Harsh Vardhan</v>
      </c>
      <c r="C30">
        <v>77</v>
      </c>
      <c r="D30">
        <f>_xlfn.XLOOKUP(A30, Payroll!A:A, Payroll!C:C)</f>
        <v>93.3</v>
      </c>
      <c r="E30">
        <v>86</v>
      </c>
      <c r="F30" t="str">
        <f t="shared" si="0"/>
        <v>Excellent</v>
      </c>
    </row>
    <row r="31" spans="1:6">
      <c r="A31" t="str">
        <f>Employee_Database!A31</f>
        <v>EMP030</v>
      </c>
      <c r="B31" t="str">
        <f>_xlfn.XLOOKUP(A31, tbl_Employee[Employee ID], tbl_Employee[Full Name])</f>
        <v>Pallavi Rao</v>
      </c>
      <c r="C31">
        <v>95</v>
      </c>
      <c r="D31">
        <f>_xlfn.XLOOKUP(A31, Payroll!A:A, Payroll!C:C)</f>
        <v>90</v>
      </c>
      <c r="E31">
        <v>63</v>
      </c>
      <c r="F31" t="str">
        <f t="shared" si="0"/>
        <v>Good</v>
      </c>
    </row>
    <row r="32" spans="1:6">
      <c r="A32" t="str">
        <f>Employee_Database!A32</f>
        <v>EMP031</v>
      </c>
      <c r="B32" t="str">
        <f>_xlfn.XLOOKUP(A32, tbl_Employee[Employee ID], tbl_Employee[Full Name])</f>
        <v>Sandeep Kumar</v>
      </c>
      <c r="C32">
        <v>76</v>
      </c>
      <c r="D32">
        <f>_xlfn.XLOOKUP(A32, Payroll!A:A, Payroll!C:C)</f>
        <v>86.7</v>
      </c>
      <c r="E32">
        <v>76</v>
      </c>
      <c r="F32" t="str">
        <f t="shared" si="0"/>
        <v>Good</v>
      </c>
    </row>
    <row r="33" spans="1:6">
      <c r="A33" t="str">
        <f>Employee_Database!A33</f>
        <v>EMP032</v>
      </c>
      <c r="B33" t="str">
        <f>_xlfn.XLOOKUP(A33, tbl_Employee[Employee ID], tbl_Employee[Full Name])</f>
        <v>Aditi Bansal</v>
      </c>
      <c r="C33">
        <v>60</v>
      </c>
      <c r="D33">
        <f>_xlfn.XLOOKUP(A33, Payroll!A:A, Payroll!C:C)</f>
        <v>86.7</v>
      </c>
      <c r="E33">
        <v>59</v>
      </c>
      <c r="F33" t="str">
        <f t="shared" si="0"/>
        <v>Average</v>
      </c>
    </row>
    <row r="34" spans="1:6">
      <c r="A34" t="str">
        <f>Employee_Database!A34</f>
        <v>EMP033</v>
      </c>
      <c r="B34" t="str">
        <f>_xlfn.XLOOKUP(A34, tbl_Employee[Employee ID], tbl_Employee[Full Name])</f>
        <v>Rajesh Khanna</v>
      </c>
      <c r="C34">
        <v>72</v>
      </c>
      <c r="D34">
        <f>_xlfn.XLOOKUP(A34, Payroll!A:A, Payroll!C:C)</f>
        <v>85</v>
      </c>
      <c r="E34">
        <v>94</v>
      </c>
      <c r="F34" t="str">
        <f t="shared" si="0"/>
        <v>Good</v>
      </c>
    </row>
    <row r="35" spans="1:6">
      <c r="A35" t="str">
        <f>Employee_Database!A35</f>
        <v>EMP034</v>
      </c>
      <c r="B35" t="str">
        <f>_xlfn.XLOOKUP(A35, tbl_Employee[Employee ID], tbl_Employee[Full Name])</f>
        <v>Komal Thakur</v>
      </c>
      <c r="C35">
        <v>88</v>
      </c>
      <c r="D35">
        <f>_xlfn.XLOOKUP(A35, Payroll!A:A, Payroll!C:C)</f>
        <v>93.3</v>
      </c>
      <c r="E35">
        <v>65</v>
      </c>
      <c r="F35" t="str">
        <f t="shared" si="0"/>
        <v>Good</v>
      </c>
    </row>
    <row r="36" spans="1:6">
      <c r="A36" t="str">
        <f>Employee_Database!A36</f>
        <v>EMP035</v>
      </c>
      <c r="B36" t="str">
        <f>_xlfn.XLOOKUP(A36, tbl_Employee[Employee ID], tbl_Employee[Full Name])</f>
        <v>Yash Chopra</v>
      </c>
      <c r="C36">
        <v>81</v>
      </c>
      <c r="D36">
        <f>_xlfn.XLOOKUP(A36, Payroll!A:A, Payroll!C:C)</f>
        <v>80</v>
      </c>
      <c r="E36">
        <v>73</v>
      </c>
      <c r="F36" t="str">
        <f t="shared" si="0"/>
        <v>Good</v>
      </c>
    </row>
    <row r="37" spans="1:6">
      <c r="A37" t="str">
        <f>Employee_Database!A37</f>
        <v>EMP036</v>
      </c>
      <c r="B37" t="str">
        <f>_xlfn.XLOOKUP(A37, tbl_Employee[Employee ID], tbl_Employee[Full Name])</f>
        <v>Riya Dutta</v>
      </c>
      <c r="C37">
        <v>69</v>
      </c>
      <c r="D37">
        <f>_xlfn.XLOOKUP(A37, Payroll!A:A, Payroll!C:C)</f>
        <v>90</v>
      </c>
      <c r="E37">
        <v>70</v>
      </c>
      <c r="F37" t="str">
        <f t="shared" si="0"/>
        <v>Good</v>
      </c>
    </row>
    <row r="38" spans="1:6">
      <c r="A38" t="str">
        <f>Employee_Database!A38</f>
        <v>EMP037</v>
      </c>
      <c r="B38" t="str">
        <f>_xlfn.XLOOKUP(A38, tbl_Employee[Employee ID], tbl_Employee[Full Name])</f>
        <v>Mohit Sinha</v>
      </c>
      <c r="C38">
        <v>85</v>
      </c>
      <c r="D38">
        <f>_xlfn.XLOOKUP(A38, Payroll!A:A, Payroll!C:C)</f>
        <v>73.3</v>
      </c>
      <c r="E38">
        <v>60</v>
      </c>
      <c r="F38" t="str">
        <f t="shared" si="0"/>
        <v>Good</v>
      </c>
    </row>
    <row r="39" spans="1:6">
      <c r="A39" t="str">
        <f>Employee_Database!A39</f>
        <v>EMP038</v>
      </c>
      <c r="B39" t="str">
        <f>_xlfn.XLOOKUP(A39, tbl_Employee[Employee ID], tbl_Employee[Full Name])</f>
        <v>Preeti Joshi</v>
      </c>
      <c r="C39">
        <v>82</v>
      </c>
      <c r="D39">
        <f>_xlfn.XLOOKUP(A39, Payroll!A:A, Payroll!C:C)</f>
        <v>73.3</v>
      </c>
      <c r="E39">
        <v>74</v>
      </c>
      <c r="F39" t="str">
        <f t="shared" si="0"/>
        <v>Good</v>
      </c>
    </row>
    <row r="40" spans="1:6">
      <c r="A40" t="str">
        <f>Employee_Database!A40</f>
        <v>EMP039</v>
      </c>
      <c r="B40" t="str">
        <f>_xlfn.XLOOKUP(A40, tbl_Employee[Employee ID], tbl_Employee[Full Name])</f>
        <v>Abhishek Roy</v>
      </c>
      <c r="C40">
        <v>88</v>
      </c>
      <c r="D40">
        <f>_xlfn.XLOOKUP(A40, Payroll!A:A, Payroll!C:C)</f>
        <v>86.7</v>
      </c>
      <c r="E40">
        <v>72</v>
      </c>
      <c r="F40" t="str">
        <f t="shared" si="0"/>
        <v>Good</v>
      </c>
    </row>
    <row r="41" spans="1:6">
      <c r="A41" t="str">
        <f>Employee_Database!A41</f>
        <v>EMP040</v>
      </c>
      <c r="B41" t="str">
        <f>_xlfn.XLOOKUP(A41, tbl_Employee[Employee ID], tbl_Employee[Full Name])</f>
        <v>Sunita Bhatia</v>
      </c>
      <c r="C41">
        <v>70</v>
      </c>
      <c r="D41">
        <f>_xlfn.XLOOKUP(A41, Payroll!A:A, Payroll!C:C)</f>
        <v>83.3</v>
      </c>
      <c r="E41">
        <v>83</v>
      </c>
      <c r="F41" t="str">
        <f t="shared" si="0"/>
        <v>Good</v>
      </c>
    </row>
  </sheetData>
  <conditionalFormatting sqref="F2:F41">
    <cfRule type="containsText" dxfId="0" priority="3" operator="containsText" text="excellent">
      <formula>NOT(ISERROR(SEARCH("excellent",F2)))</formula>
    </cfRule>
    <cfRule type="containsText" dxfId="1" priority="2" operator="containsText" text="poor">
      <formula>NOT(ISERROR(SEARCH("poor",F2)))</formula>
    </cfRule>
    <cfRule type="containsText" dxfId="2" priority="1" operator="containsText" text="good">
      <formula>NOT(ISERROR(SEARCH("good",F2)))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94DF-6617-41E2-A465-7BE8F0B36620}">
  <dimension ref="A1"/>
  <sheetViews>
    <sheetView zoomScale="80" zoomScaleNormal="80" workbookViewId="0">
      <selection sqref="A1:J41"/>
    </sheetView>
  </sheetViews>
  <sheetFormatPr defaultRowHeight="14.5"/>
  <cols>
    <col min="1" max="1" width="14.36328125" customWidth="1"/>
    <col min="2" max="2" width="13.26953125" customWidth="1"/>
    <col min="3" max="3" width="8.90625" customWidth="1"/>
    <col min="4" max="4" width="13.08984375" customWidth="1"/>
    <col min="5" max="5" width="12.1796875" customWidth="1"/>
    <col min="6" max="6" width="16.1796875" customWidth="1"/>
    <col min="7" max="7" width="32.26953125" customWidth="1"/>
    <col min="8" max="8" width="18.36328125" customWidth="1"/>
    <col min="10" max="10" width="17.8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Employee_Database</vt:lpstr>
      <vt:lpstr>Attendance</vt:lpstr>
      <vt:lpstr>Leave_Management</vt:lpstr>
      <vt:lpstr>Payroll</vt:lpstr>
      <vt:lpstr>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MORNINGSTAR</dc:creator>
  <cp:lastModifiedBy>LUCIFER MORNINGSTAR</cp:lastModifiedBy>
  <dcterms:created xsi:type="dcterms:W3CDTF">2026-06-18T12:13:02Z</dcterms:created>
  <dcterms:modified xsi:type="dcterms:W3CDTF">2026-06-19T03:37:18Z</dcterms:modified>
</cp:coreProperties>
</file>